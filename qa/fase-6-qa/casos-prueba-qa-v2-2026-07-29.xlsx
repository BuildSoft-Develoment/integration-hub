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ada" state="visible" r:id="rId4"/>
    <sheet sheetId="2" name="Casos" state="visible" r:id="rId5"/>
    <sheet sheetId="3" name="Preparacion" state="visible" r:id="rId6"/>
    <sheet sheetId="4" name="Datos-Formularios" state="visible" r:id="rId7"/>
    <sheet sheetId="5" name="Flujo-E2E" state="visible" r:id="rId8"/>
    <sheet sheetId="6" name="Resumen" state="visible" r:id="rId9"/>
    <sheet sheetId="7" name="Aprobacion" state="visible" r:id="rId10"/>
  </sheets>
  <calcPr calcId="171027" fullCalcOnLoad="1"/>
</workbook>
</file>

<file path=xl/sharedStrings.xml><?xml version="1.0" encoding="utf-8"?>
<sst xmlns="http://schemas.openxmlformats.org/spreadsheetml/2006/main" count="1740" uniqueCount="1740">
  <si>
    <t>CASOS DE PRUEBA QA — Integration Hub · Money-path MT101</t>
  </si>
  <si>
    <t>Fecha</t>
  </si>
  <si>
    <t>2026-07-16</t>
  </si>
  <si>
    <t>Version</t>
  </si>
  <si>
    <t>1.0</t>
  </si>
  <si>
    <t>Total</t>
  </si>
  <si>
    <t>236 casos en 9 fases (F0..F8) · 111 Manual-QA / 93 Tecnico-Dev / 32 Automatizado-IT</t>
  </si>
  <si>
    <t>QUE ES ESTO</t>
  </si>
  <si>
    <t>Proposito</t>
  </si>
  <si>
    <t>Suite para que el Equipo de QA valide el money-path MT101 (banco-a-banco) de punta a punta: desde la configuracion del catalogo hasta la ejecucion y los reprocesos, verificando SIEMPRE por las vistas de la UI (no por API).</t>
  </si>
  <si>
    <t>INDICE DE PESTANAS</t>
  </si>
  <si>
    <t>1. Portada</t>
  </si>
  <si>
    <t>Esta hoja: arranque rapido, indice y leyenda.</t>
  </si>
  <si>
    <t>2. Casos</t>
  </si>
  <si>
    <t>Los 236 casos ORDENADOS por ejecucion (columnas Orden y Fase).</t>
  </si>
  <si>
    <t>3. Preparacion</t>
  </si>
  <si>
    <t>Acceso, usuarios, navegacion y orden de ejecucion. LEER PRIMERO.</t>
  </si>
  <si>
    <t>4. Datos-Formularios</t>
  </si>
  <si>
    <t>Valores exactos por campo del CRUD (Fuentes/Conexiones/Readers/Procesos).</t>
  </si>
  <si>
    <t>5. Flujo-E2E</t>
  </si>
  <si>
    <t>Guion E2E + archivos de datos (10k) + como verificar por la UI.</t>
  </si>
  <si>
    <t>6. Resumen</t>
  </si>
  <si>
    <t>Conteos por Estado/Ejecutor/Fase/Modulo (formulas).</t>
  </si>
  <si>
    <t>7. Aprobacion</t>
  </si>
  <si>
    <t>Checklist de gates de homologacion + firmas.</t>
  </si>
  <si>
    <t>ARRANQUE RAPIDO</t>
  </si>
  <si>
    <t>1) Stack arriba</t>
  </si>
  <si>
    <t>Local: docker compose -f docker-compose.int.yml up -d (en ops/fase-7-deploy/dist/onprem). Primera vez: cargar imagenes con docker load (ver LEEME-DEPLOY).</t>
  </si>
  <si>
    <t>2) Acceso</t>
  </si>
  <si>
    <t>Abrir https://&lt;host&gt;/appih (local: https://192.168.0.15:8443/appih). Aceptar el cert self-signed (ver Preparacion).</t>
  </si>
  <si>
    <t>3) Login</t>
  </si>
  <si>
    <t>Usuarios de prueba en la hoja Preparacion (admin/admin123, etc.). El QA NO comparte credenciales.</t>
  </si>
  <si>
    <t>4) Datos</t>
  </si>
  <si>
    <t>Archivos de 10k en qa/fase-6-qa/datos-prueba/ (mt101-10k.csv). El QA no genera nada.</t>
  </si>
  <si>
    <t>5) Ejecutar</t>
  </si>
  <si>
    <t>Seguir el orden de Fase (F0 Infra -&gt; ... -&gt; F8 Aceptacion). Marcar la columna Estado en la hoja Casos.</t>
  </si>
  <si>
    <t>6) Cierre</t>
  </si>
  <si>
    <t>Al terminar, llenar la hoja Aprobacion (gates + firmas).</t>
  </si>
  <si>
    <t>LEYENDA</t>
  </si>
  <si>
    <t>Ejecutor</t>
  </si>
  <si>
    <t>Manual-QA (verde)=QA en la UI ; Tecnico/Dev (amarillo)=apoyo dev ; Automatizado-IT (azul)=ya cubierto por prueba automatica.</t>
  </si>
  <si>
    <t>Estado</t>
  </si>
  <si>
    <t>Columna Estado en Casos: Pendiente / Pass / Fail / Blocked / N/A (desplegable). El Resumen cuenta solo.</t>
  </si>
  <si>
    <t>Verificar</t>
  </si>
  <si>
    <t>SIEMPRE por vistas de la UI. Hub: Ejecuciones &gt; pestana Tareas (Procesados/Escritos). Nunca por API.</t>
  </si>
  <si>
    <t>Orden</t>
  </si>
  <si>
    <t>Fase</t>
  </si>
  <si>
    <t>ID</t>
  </si>
  <si>
    <t>Modulo</t>
  </si>
  <si>
    <t>Escenario</t>
  </si>
  <si>
    <t>Precondicion</t>
  </si>
  <si>
    <t>Pasos</t>
  </si>
  <si>
    <t>Resultado esperado</t>
  </si>
  <si>
    <t>Prioridad</t>
  </si>
  <si>
    <t>Tipo</t>
  </si>
  <si>
    <t>Tester</t>
  </si>
  <si>
    <t>Observaciones</t>
  </si>
  <si>
    <t>F0. Infra / Deploy / Acceso</t>
  </si>
  <si>
    <t>INFRA-01</t>
  </si>
  <si>
    <t>INFRA</t>
  </si>
  <si>
    <t>Manual-QA</t>
  </si>
  <si>
    <t>Acceso por dominio</t>
  </si>
  <si>
    <t>DNS/hosts resuelve el dominio; stack arriba</t>
  </si>
  <si>
    <t>1) Abrir https://&lt;dominio&gt;/appih en el navegador  2) Aceptar el aviso de cert self-signed (ver Preparacion)</t>
  </si>
  <si>
    <t>Carga la UI de Integration Hub</t>
  </si>
  <si>
    <t>Alta</t>
  </si>
  <si>
    <t>Funcional</t>
  </si>
  <si>
    <t>Pass</t>
  </si>
  <si>
    <t/>
  </si>
  <si>
    <t>UI /appih carga HTTP 200 (13)</t>
  </si>
  <si>
    <t>INFRA-02</t>
  </si>
  <si>
    <t>Acceso por IP-LAN</t>
  </si>
  <si>
    <t>Stack arriba; en la PC cliente el hosts apunta el dominio a la IP</t>
  </si>
  <si>
    <t>1) Abrir la URL con el dominio (mapeado a la IP)  2) Aceptar cert</t>
  </si>
  <si>
    <t>Carga la UI; el login funciona</t>
  </si>
  <si>
    <t>Blocked</t>
  </si>
  <si>
    <t>acceso por IP-LAN desde otra PC (hosts)</t>
  </si>
  <si>
    <t>INFRA-03</t>
  </si>
  <si>
    <t>Tecnico/Dev</t>
  </si>
  <si>
    <t>Acceso por IP publica (internet)</t>
  </si>
  <si>
    <t>Router con port-forward 443 + DNS publico</t>
  </si>
  <si>
    <t>1) Desde internet, abrir https://&lt;dominio&gt;/appih</t>
  </si>
  <si>
    <t>Carga la UI</t>
  </si>
  <si>
    <t>Media</t>
  </si>
  <si>
    <t>internet + port-forward 443</t>
  </si>
  <si>
    <t>INFRA-04</t>
  </si>
  <si>
    <t>http a puerto https</t>
  </si>
  <si>
    <t>Stack arriba</t>
  </si>
  <si>
    <t>1) Abrir http://&lt;host&gt;:443/ (http, no https)</t>
  </si>
  <si>
    <t>HTTP 400 'plain HTTP request was sent to HTTPS port'</t>
  </si>
  <si>
    <t>Baja</t>
  </si>
  <si>
    <t>Negativo</t>
  </si>
  <si>
    <t>http a puerto https -&gt; 400 (04)</t>
  </si>
  <si>
    <t>INFRA-05</t>
  </si>
  <si>
    <t>Cert self-signed</t>
  </si>
  <si>
    <t>Stack con cert self-signed</t>
  </si>
  <si>
    <t>1) Abrir la URL https</t>
  </si>
  <si>
    <t>Sale el aviso de seguridad; al aceptar la excepcion (o importar el cert) se puede continuar</t>
  </si>
  <si>
    <t>Seguridad</t>
  </si>
  <si>
    <t>cert self-signed dual, 5 SAN (12)</t>
  </si>
  <si>
    <t>INFRA-06</t>
  </si>
  <si>
    <t>Subpath /appih</t>
  </si>
  <si>
    <t>Imagen native-appih</t>
  </si>
  <si>
    <t>1) Con curl: GET /appih/  2) Revisar el HTML</t>
  </si>
  <si>
    <t>El index trae base href /appih/ y los recursos cargan bajo /appih</t>
  </si>
  <si>
    <t>base href=/appih/ (06)</t>
  </si>
  <si>
    <t>INFRA-07</t>
  </si>
  <si>
    <t>La raiz redirige a /appih</t>
  </si>
  <si>
    <t>1) Abrir la URL sin /appih (solo el host)</t>
  </si>
  <si>
    <t>Redirige automaticamente a /appih/</t>
  </si>
  <si>
    <t>GET / -&gt; 302 /appih/ (05)</t>
  </si>
  <si>
    <t>INFRA-08</t>
  </si>
  <si>
    <t>Health/readiness</t>
  </si>
  <si>
    <t>1) GET /q/health/ready (curl o navegador)</t>
  </si>
  <si>
    <t>Devuelve status UP con los chequeos de DB (y mensajeria) en UP</t>
  </si>
  <si>
    <t>health/ready UP: DB+JMS+messaging (02)</t>
  </si>
  <si>
    <t>INFRA-09</t>
  </si>
  <si>
    <t>Ruteo de nginx</t>
  </si>
  <si>
    <t>1) Probar /appih/ (app), /api/ (API), /iam/ (login), /pluginwidget/ (widget)</t>
  </si>
  <si>
    <t>Cada ruta responde desde su servicio correcto</t>
  </si>
  <si>
    <t>nginx: /appih,/iam,/pluginwidget 200; /api 401 (03)</t>
  </si>
  <si>
    <t>INFRA-10</t>
  </si>
  <si>
    <t>Keycloak honra https tras el proxy</t>
  </si>
  <si>
    <t>1) GET /iam/realms/integration-hub/.well-known/openid-configuration</t>
  </si>
  <si>
    <t>Las URLs (auth/token/issuer) son https con el hostname publico</t>
  </si>
  <si>
    <t>issuer/auth/token https 192.168.0.15/iam (11)</t>
  </si>
  <si>
    <t>INFRA-11</t>
  </si>
  <si>
    <t>Branding del login (nativo)</t>
  </si>
  <si>
    <t>Imagen nativa</t>
  </si>
  <si>
    <t>1) GET /appih/api/branding</t>
  </si>
  <si>
    <t>HTTP 200 (no 500) -&gt; el logo/marca del login carga bien</t>
  </si>
  <si>
    <t>/appih/api/branding 200 (07)</t>
  </si>
  <si>
    <t>INFRA-12</t>
  </si>
  <si>
    <t>Arranque del stack</t>
  </si>
  <si>
    <t>Imagenes cargadas (docker load)</t>
  </si>
  <si>
    <t>1) docker compose up -d  2) docker compose ps</t>
  </si>
  <si>
    <t>Todos los contenedores en Up; postgres y keycloak en healthy</t>
  </si>
  <si>
    <t>15 contenedores nativos Up, datastores healthy (13)</t>
  </si>
  <si>
    <t>INFRA-13</t>
  </si>
  <si>
    <t>Persistencia tras reinicio</t>
  </si>
  <si>
    <t>Stack con datos</t>
  </si>
  <si>
    <t>1) docker compose restart  2) Verificar que los datos sigan</t>
  </si>
  <si>
    <t>Los datos operacionales persisten y la app recupera</t>
  </si>
  <si>
    <t>reinicio del stack (no ejecutado para preservar evidencia)</t>
  </si>
  <si>
    <t>INFRA-14</t>
  </si>
  <si>
    <t>Puerto ocupado</t>
  </si>
  <si>
    <t>Otro servicio usando el 443/8443</t>
  </si>
  <si>
    <t>1) Levantar el stack</t>
  </si>
  <si>
    <t>nginx no puede bindear; el error es claro; se resuelve liberando el puerto o cambiando NGINX_PORTS</t>
  </si>
  <si>
    <t>ocupar el puerto (disruptivo)</t>
  </si>
  <si>
    <t>F1. Autenticacion / Roles</t>
  </si>
  <si>
    <t>AUTH-01</t>
  </si>
  <si>
    <t>AUTH</t>
  </si>
  <si>
    <t>Login exitoso</t>
  </si>
  <si>
    <t>Usuario valido (ver Preparacion); stack arriba</t>
  </si>
  <si>
    <t>1) Abrir la URL /appih  2) Te redirige a la pantalla de login (Keycloak)  3) Ingresar usuario y contrasena  4) Aceptar</t>
  </si>
  <si>
    <t>Vuelves autenticado a la app; se ve tu nombre de usuario arriba</t>
  </si>
  <si>
    <t>login Keycloak: lo hace el usuario (regla) / UI</t>
  </si>
  <si>
    <t>AUTH-02</t>
  </si>
  <si>
    <t>Login con credenciales invalidas</t>
  </si>
  <si>
    <t>1) En el login, ingresar una contrasena incorrecta  2) Aceptar</t>
  </si>
  <si>
    <t>Keycloak muestra 'credenciales invalidas'; no entras</t>
  </si>
  <si>
    <t>login UI</t>
  </si>
  <si>
    <t>AUTH-03</t>
  </si>
  <si>
    <t>Logout</t>
  </si>
  <si>
    <t>Sesion iniciada (P)</t>
  </si>
  <si>
    <t>1) Click en el menu de usuario &gt; Salir</t>
  </si>
  <si>
    <t>Se cierra la sesion; vuelve a la pantalla de login</t>
  </si>
  <si>
    <t>logout UI</t>
  </si>
  <si>
    <t>AUTH-04</t>
  </si>
  <si>
    <t>PKCE obligatorio (S256)</t>
  </si>
  <si>
    <t>-</t>
  </si>
  <si>
    <t>1) Con dev, llamar al endpoint de auth SIN el parametro code_challenge</t>
  </si>
  <si>
    <t>Keycloak rechaza: error 'Missing parameter: code_challenge_method' (el login normal del navegador SI lo manda)</t>
  </si>
  <si>
    <t>PKCE: Missing parameter code_challenge_method (09)</t>
  </si>
  <si>
    <t>AUTH-05</t>
  </si>
  <si>
    <t>redirect_uri no permitido</t>
  </si>
  <si>
    <t>1) Con dev, llamar a auth con redirect_uri de un dominio no listado</t>
  </si>
  <si>
    <t>HTTP 400: Keycloak rechaza (no esta en el allowlist del cliente)</t>
  </si>
  <si>
    <t>redirect_uri no permitido -&gt; 400 (10)</t>
  </si>
  <si>
    <t>AUTH-06</t>
  </si>
  <si>
    <t>Sesion se mantiene (refresh de token)</t>
  </si>
  <si>
    <t>1) Dejar la app abierta ~5-10 min sin cerrar  2) Hacer una accion (abrir una consola)</t>
  </si>
  <si>
    <t>La app sigue funcionando sin pedir re-login (el token se refresco solo)</t>
  </si>
  <si>
    <t>refresh token UI (sesion)</t>
  </si>
  <si>
    <t>AUTH-07</t>
  </si>
  <si>
    <t>Sesion expirada real</t>
  </si>
  <si>
    <t>1) Con dev, invalidar/expirar el refresh-token o la sesion SSO  2) Hacer una accion</t>
  </si>
  <si>
    <t>La app detecta la sesion expirada y pide re-login</t>
  </si>
  <si>
    <t>invalidar sesion (dev)</t>
  </si>
  <si>
    <t>AUTH-08</t>
  </si>
  <si>
    <t>Acceso sin token a un endpoint protegido</t>
  </si>
  <si>
    <t>1) Con curl/Postman, GET a /api/query/mt101-fragments/pay-conflicts/open sin cabecera Authorization</t>
  </si>
  <si>
    <t>HTTP 401 (no autorizado)</t>
  </si>
  <si>
    <t>GET /api sin token -&gt; 401 (08)</t>
  </si>
  <si>
    <t>AUTH-09</t>
  </si>
  <si>
    <t>Rol payments-operator ve PAY conflicts</t>
  </si>
  <si>
    <t>Login como payments-operator (P); maker-checker OFF</t>
  </si>
  <si>
    <t>1) Ir a Audit &gt; PAY Conflicts  2) En un conflicto: Resolver</t>
  </si>
  <si>
    <t>Puede ver el inbox y (con maker-checker OFF) reconocer con motivo+ticket</t>
  </si>
  <si>
    <t>payments-operator: menu recortado + redirect desde /sources (UI 38)</t>
  </si>
  <si>
    <t>AUTH-10</t>
  </si>
  <si>
    <t>Rol auditor es solo-lectura</t>
  </si>
  <si>
    <t>Login como auditor (P)</t>
  </si>
  <si>
    <t>1) Ir a Audit &gt; PAY Conflicts  2) Intentar reconocer/pagar</t>
  </si>
  <si>
    <t>Puede VER, pero las acciones que mueven dinero le dan error/estan bloqueadas (403)</t>
  </si>
  <si>
    <t>auditor solo-lectura: VE el conflicto pero sin acciones de dinero (UI 38)</t>
  </si>
  <si>
    <t>AUTH-11</t>
  </si>
  <si>
    <t>Rol pay-conflict-maker NO puede aprobar</t>
  </si>
  <si>
    <t>maker-checker ON; login como pay-maker (P); un PENDING existe</t>
  </si>
  <si>
    <t>1) Ver el conflicto con la solicitud pendiente  2) Intentar Aprobar</t>
  </si>
  <si>
    <t>El boton Aprobar esta deshabilitado (te falta el rol checker); por API daria 403</t>
  </si>
  <si>
    <t>maker-&gt;approve 403 por rol (API 36); "por API daria 403" exacto</t>
  </si>
  <si>
    <t>AUTH-12</t>
  </si>
  <si>
    <t>Rol pay-conflict-checker NO puede solicitar</t>
  </si>
  <si>
    <t>maker-checker ON; login como pay-checker (P)</t>
  </si>
  <si>
    <t>1) En un conflicto, buscar 'Solicitar reconocimiento'</t>
  </si>
  <si>
    <t>No se te ofrece Solicitar (te falta el rol maker); por API daria 403</t>
  </si>
  <si>
    <t>checker-&gt;request 403 por rol (API 36)</t>
  </si>
  <si>
    <t>AUTH-13</t>
  </si>
  <si>
    <t>Usuario sin rol maker/checker</t>
  </si>
  <si>
    <t>maker-checker ON; login como operator (sin roles dedicados)</t>
  </si>
  <si>
    <t>1) Abrir el panel de un conflicto</t>
  </si>
  <si>
    <t>La UI avisa 'no tienes rol maker/checker' y no ofrece acciones</t>
  </si>
  <si>
    <t>admin sin rol maker/checker: "No tienes rol..." + sin botones (UI 37)</t>
  </si>
  <si>
    <t>AUTH-14</t>
  </si>
  <si>
    <t>La URL de Keycloak es correcta</t>
  </si>
  <si>
    <t>Navegador; stack arriba</t>
  </si>
  <si>
    <t>1) Iniciar login  2) Mirar la URL de la pantalla de Keycloak</t>
  </si>
  <si>
    <t>Es la URL publica esperada (dominio/IP con https), la misma con que entraste</t>
  </si>
  <si>
    <t>UI (pantalla Keycloak)</t>
  </si>
  <si>
    <t>F2. Configuracion (catalogo)</t>
  </si>
  <si>
    <t>CSRC-01</t>
  </si>
  <si>
    <t>CSRC</t>
  </si>
  <si>
    <t>Listar, buscar y filtrar fuentes</t>
  </si>
  <si>
    <t>Login como admin (P); menu Fuentes (/appih/#/sources)</t>
  </si>
  <si>
    <t>1) Abrir Fuentes  2) Ver la lista (nombre, tipo, estado)  3) Escribir en Buscar un texto  4) Usar el filtro Tipo (SFTP / FTP / Amazon S3 / REST...)  5) Usar el filtro Estado (Activo / Inactivo)</t>
  </si>
  <si>
    <t>La lista se filtra por texto, por tipo y por estado; cada fila muestra nombre, tipo y si esta activa</t>
  </si>
  <si>
    <t>GET source-definitions 200 (lista)</t>
  </si>
  <si>
    <t>CSRC-02</t>
  </si>
  <si>
    <t>Crear fuente SFTP (Probar + Guardar)</t>
  </si>
  <si>
    <t>Login admin (P); sftp-source arriba</t>
  </si>
  <si>
    <t>1) Fuentes &gt; Nueva fuente  2) Nombre = Fuente SFTP QA  3) Tipo = SFTP  4) Host = sftp-source ; Port = 22 ; Username = ihsource ; Password = ihsource ; Remote path = /upload/mt101-10k.csv (RUTA COMPLETA al archivo, no el directorio)  5) Media type = text/plain ; Strict host key checking = OFF ; Timeout (ms) = 10000  6) Click Probar (Test)  7) Click Guardar (Save)</t>
  </si>
  <si>
    <t>Probar devuelve conexion OK; al Guardar la fuente aparece en la lista como Activa. Nota (verificado en int): la fuente SFTP lee la RUTA COMPLETA del Remote path (sin fileNameTemplate en el form)</t>
  </si>
  <si>
    <t>POST source SFTP id=1 (20)</t>
  </si>
  <si>
    <t>CSRC-03</t>
  </si>
  <si>
    <t>Crear fuente Amazon S3 / MinIO</t>
  </si>
  <si>
    <t>Login admin (P); minio arriba (bucket ih-source-inbox)</t>
  </si>
  <si>
    <t>1) Nueva fuente  2) Nombre = Fuente S3 QA ; Tipo = Amazon S3  3) Region = us-east-1 ; Bucket = ih-source-inbox ; Endpoint = http://minio:9000  4) Auth mode = access-key -&gt; Access key ID = minioadmin ; Secret access key = minioadmin  5) Path-style access = ON ; Selection mode = all ; Media type = text/plain  6) Probar  7) Guardar</t>
  </si>
  <si>
    <t>Probar OK contra MinIO; se guarda como Activa. Nota (verificado en int): MinIO exige Path-style access = ON; y Auth mode = access-key es OBLIGATORIO (con Access key ID + Secret access key). Sin authMode:access-key el backend cae a la cadena de credenciales AWS por defecto y falla con 'Unable to load credentials'</t>
  </si>
  <si>
    <t>POST fuente S3 id=2 (26)</t>
  </si>
  <si>
    <t>CSRC-04</t>
  </si>
  <si>
    <t>Crear fuente FTP</t>
  </si>
  <si>
    <t>Login admin (P); ftp-source arriba</t>
  </si>
  <si>
    <t>1) Nueva fuente  2) Nombre = Fuente FTP QA ; Tipo = FTP  3) Host = ftp-source ; Port = 21 ; Username = ihftp ; Password = ihftp ; Remote path = /  4) Passive mode = ON ; Timeout (ms) = 10000 ; Media type = text/plain  5) Probar  6) Guardar</t>
  </si>
  <si>
    <t>Probar OK; se guarda Activa</t>
  </si>
  <si>
    <t>POST fuente FTP id=3 (26)</t>
  </si>
  <si>
    <t>CSRC-05</t>
  </si>
  <si>
    <t>Crear fuente REST</t>
  </si>
  <si>
    <t>Login admin (P); servicio echo arriba</t>
  </si>
  <si>
    <t>1) Nueva fuente  2) Nombre = Fuente REST QA ; Tipo = REST  3) URL = http://echo ; Method = GET ; Auth type = No authentication  4) File name = echo-payload.json ; Timeout (s) = 10 ; Media type = application/json  5) Probar  6) Guardar</t>
  </si>
  <si>
    <t>Probar OK contra echo (HTTP 200); se guarda Activa</t>
  </si>
  <si>
    <t>POST fuente REST id=4 (26)</t>
  </si>
  <si>
    <t>CSRC-06</t>
  </si>
  <si>
    <t>Editar una fuente existente</t>
  </si>
  <si>
    <t>Una fuente SFTP guardada (CSRC-02)</t>
  </si>
  <si>
    <t>1) Abrir la fuente en la lista  2) Click Editar  3) Cambiar Remote path = /upload/qa  4) Guardar</t>
  </si>
  <si>
    <t>El cambio se guarda; al reabrir la fuente muestra el valor nuevo</t>
  </si>
  <si>
    <t>PUT source (editar remotePath) 200 (24)</t>
  </si>
  <si>
    <t>CSRC-07</t>
  </si>
  <si>
    <t>Probar con credencial invalida (fail-loud)</t>
  </si>
  <si>
    <t>Login admin (P)</t>
  </si>
  <si>
    <t>1) Nueva fuente SFTP con los datos de CSRC-02 pero Password = malo  2) Click Probar</t>
  </si>
  <si>
    <t>Probar FALLA con mensaje claro de error de conexion/autenticacion; no se cuelga y no da la fuente por buena</t>
  </si>
  <si>
    <t>test SFTP: buena OK; mala -&gt; 500 fail-loud (32)</t>
  </si>
  <si>
    <t>CSRC-08</t>
  </si>
  <si>
    <t>Desactivar / Reactivar (baja logica; NO hay borrado)</t>
  </si>
  <si>
    <t>Una fuente Activa guardada</t>
  </si>
  <si>
    <t>1) Abrir la fuente  2) Click Desactivar (toggle Activo)  3) En la lista, filtro Estado = Inactivo: confirmar que aparece  4) Reactivar</t>
  </si>
  <si>
    <t>La fuente pasa a Inactiva (deja de procesarse) y se puede reactivar. NO existe boton de borrado fisico: la baja es logica (se conserva para auditoria)</t>
  </si>
  <si>
    <t>PUT desactivar fuente S3 200 (27)</t>
  </si>
  <si>
    <t>CSRC-09</t>
  </si>
  <si>
    <t>Validacion de campos requeridos</t>
  </si>
  <si>
    <t>1) Nueva fuente  2) Dejar Nombre vacio y/o Host vacio  3) Intentar Guardar</t>
  </si>
  <si>
    <t>No deja guardar incompleto: el boton Guardar esta deshabilitado o marca el campo requerido</t>
  </si>
  <si>
    <t>fix desplegado y verificado en vivo: boton Crear deshabilitado con Nombre vacio + backend 400 (requireName + ApiExceptionMapper). Commit 19203c63 (38)</t>
  </si>
  <si>
    <t>CSRC-10</t>
  </si>
  <si>
    <t>Cambiar de Tipo re-dibuja el formulario</t>
  </si>
  <si>
    <t>1) Nueva fuente  2) Tipo = SFTP (aparecen Host/Port/Username...)  3) Cambiar Tipo = Amazon S3</t>
  </si>
  <si>
    <t>El formulario cambia a los campos de S3 (Bucket/Region/Endpoint/Auth mode) sin romperse</t>
  </si>
  <si>
    <t>cambiar Tipo redibuja el form (SFTP&lt;-&gt;S3) sin romperse (UI 38)</t>
  </si>
  <si>
    <t>CSRC-11</t>
  </si>
  <si>
    <t>Fuente File system (requiere ruta montada)</t>
  </si>
  <si>
    <t>1) Nueva fuente Tipo = File system  2) Path = /data/inbox ; Selection mode = all  3) Guardar / Probar</t>
  </si>
  <si>
    <t>En el stack int NO hay volumen de archivos montado en el contenedor de la app por defecto; para lectura real montar un volumen o usar SFTP/S3/FTP. Marcar N/A si no aplica en el ambiente</t>
  </si>
  <si>
    <t>N/A</t>
  </si>
  <si>
    <t>File system: sin volumen montado en el app (int)</t>
  </si>
  <si>
    <t>CSRC-12</t>
  </si>
  <si>
    <t>Ruta del archivo por tipo de fuente</t>
  </si>
  <si>
    <t>1) SFTP: Remote path = ruta COMPLETA al archivo (/upload/archivo.csv)  2) FTP: Remote path = directorio (/ftp/ihftp) + File template  3) S3: Bucket + File template (+ Prefix)</t>
  </si>
  <si>
    <t>Cada tipo resuelve el archivo con su regla (verificado en int); si falta el File template en FTP/S3 da error claro</t>
  </si>
  <si>
    <t>SFTP ruta completa, FTP dir+template, S3 template (26/33)</t>
  </si>
  <si>
    <t>CCON-01</t>
  </si>
  <si>
    <t>CCON</t>
  </si>
  <si>
    <t>Listar, buscar y filtrar conexiones</t>
  </si>
  <si>
    <t>Login admin (P); menu Conexiones (/appih/#/connections)</t>
  </si>
  <si>
    <t>1) Abrir Conexiones  2) Ver la lista  3) Buscar por texto  4) Filtrar por Motor y por Estado</t>
  </si>
  <si>
    <t>La lista se filtra; cada fila muestra nombre, motor (PostgreSQL/Oracle/...) y estado</t>
  </si>
  <si>
    <t>GET connection-definitions 200 (26)</t>
  </si>
  <si>
    <t>CCON-02</t>
  </si>
  <si>
    <t>Crear conexion JDBC PostgreSQL (Probar + Guardar)</t>
  </si>
  <si>
    <t>Login admin (P); postgres arriba</t>
  </si>
  <si>
    <t>1) Conexiones &gt; Nueva conexion  2) Nombre = Conexion Postgres QA ; Motor (Tipo) = PostgreSQL  3) JDBC URL = jdbc:postgresql://postgres:5432/integration_hub  4) Username = postgres ; Password = admin  5) Min size = 1 ; Max size = 10 ; Acquisition timeout (s) = 5 ; Validation timeout (s) = 5 ; Reap timeout (min) = 10  6) JDBC properties JSON = {}  7) Probar  8) Guardar</t>
  </si>
  <si>
    <t>Probar conecta a Postgres (int) OK; se guarda como Activa</t>
  </si>
  <si>
    <t>POST conexion Postgres id=1 (26)</t>
  </si>
  <si>
    <t>CCON-03</t>
  </si>
  <si>
    <t>Probar con URL/credencial invalida (fail-loud)</t>
  </si>
  <si>
    <t>1) Nueva conexion con los datos de CCON-02 pero Password = malo  2) Click Probar</t>
  </si>
  <si>
    <t>Falla con error claro (autenticacion/URL); no se cuelga</t>
  </si>
  <si>
    <t>test JDBC: buena OK; mala -&gt; 500 fail-loud (32)</t>
  </si>
  <si>
    <t>CCON-04</t>
  </si>
  <si>
    <t>Editar el pool de conexiones</t>
  </si>
  <si>
    <t>Una conexion guardada (CCON-02)</t>
  </si>
  <si>
    <t>1) Abrir la conexion &gt; Editar  2) Max size = 20  3) Guardar</t>
  </si>
  <si>
    <t>El cambio se guarda; al reabrir muestra Max size = 20</t>
  </si>
  <si>
    <t>PUT editar pool maxSize=20 200 (27)</t>
  </si>
  <si>
    <t>CCON-05</t>
  </si>
  <si>
    <t>Desactivar / Reactivar conexion (baja logica)</t>
  </si>
  <si>
    <t>Una conexion Activa</t>
  </si>
  <si>
    <t>1) Abrir la conexion  2) Desactivar (toggle Activo)  3) Filtro Estado = Inactivo: confirmar  4) Reactivar</t>
  </si>
  <si>
    <t>Pasa a Inactiva y se reactiva; sin borrado fisico (se conserva para auditoria)</t>
  </si>
  <si>
    <t>PUT desactivar conexion 200 (27)</t>
  </si>
  <si>
    <t>CCON-06</t>
  </si>
  <si>
    <t>Otros motores requieren BD real</t>
  </si>
  <si>
    <t>1) Crear conexion Motor = Oracle / SQL Server / MySQL / MongoDB con una URL real</t>
  </si>
  <si>
    <t>El stack int solo trae PostgreSQL; los demas motores requieren una instancia accesible. Probar solo si existe; si no, marcar N/A</t>
  </si>
  <si>
    <t>otros motores: int solo trae PostgreSQL</t>
  </si>
  <si>
    <t>CRDR-01</t>
  </si>
  <si>
    <t>CRDR</t>
  </si>
  <si>
    <t>Listar, buscar y filtrar readers</t>
  </si>
  <si>
    <t>Login admin (P); menu Readers (/appih/#/readers)</t>
  </si>
  <si>
    <t>1) Abrir Readers  2) Ver la lista  3) Buscar  4) Filtrar por Tipo y Estado</t>
  </si>
  <si>
    <t>La lista se filtra; cada fila muestra nombre, tipo (CSV/TXT/JSON/XML/XLS/SWIFT MT) y estado</t>
  </si>
  <si>
    <t>GET reader-definitions 200 (lista)</t>
  </si>
  <si>
    <t>CRDR-02</t>
  </si>
  <si>
    <t>Crear reader SWIFT MT/FIN (banking)</t>
  </si>
  <si>
    <t>1) Readers &gt; Nuevo reader  2) Nombre = Reader SWIFT MT101 QA ; Tipo = SWIFT MT/FIN  3) Encoding = UTF-8  4) SWIFT-X strict = marcado  5) Guardar</t>
  </si>
  <si>
    <t>Se guarda; queda disponible para las tareas de parseo MT101 del money-path</t>
  </si>
  <si>
    <t>POST reader SWIFT_MT id=2 (26)</t>
  </si>
  <si>
    <t>CRDR-03</t>
  </si>
  <si>
    <t>Crear reader CSV MT101 (por posicion)</t>
  </si>
  <si>
    <t>1) Nuevo reader  2) Nombre = Reader CSV MT101 QA ; Tipo = CSV  3) Delimiter = , ; Encoding = UTF-8 ; Data starts at row = 2 (hay cabecera)  4) Agregar 8 campos por posicion: dni(1) ; nombre(2) ; cuenta(3) ; moneda(4) ; monto(5) Type=NUMBER ; bic(6) ; concepto(7) ; cargos(8)  5) Guardar</t>
  </si>
  <si>
    <t>El reader guarda las 8 columnas por posicion; es EXACTAMENTE el que consume el proceso MT101 outbound del flujo E2E. Type del desplegable: TEXT/NUMBER/DATE</t>
  </si>
  <si>
    <t>POST reader CSV 8 campos por posicion id=1 (20)</t>
  </si>
  <si>
    <t>CRDR-04</t>
  </si>
  <si>
    <t>Crear reader JSON</t>
  </si>
  <si>
    <t>1) Nuevo reader  2) Nombre = Reader JSON QA ; Tipo = JSON  3) Field mappings: opcional (dejar vacio o mapear campos para tareas posteriores)  4) Guardar</t>
  </si>
  <si>
    <t>Se guarda; los mappings JSON son opcionales</t>
  </si>
  <si>
    <t>POST reader JSON id=3 (26)</t>
  </si>
  <si>
    <t>CRDR-05</t>
  </si>
  <si>
    <t>Crear reader TXT de ancho fijo</t>
  </si>
  <si>
    <t>1) Nuevo reader  2) Nombre = Reader TXT QA ; Tipo = TXT  3) Modo = Ancho fijo (fixed-length) -- OBLIGATORIO: el modo por defecto es Delimitado y con el los campos salen null  4) Agregar campos con Start/End/Size: reference Start = 1 End = 16 ; amount Start = 17 End = 32 Type = NUMBER  5) Guardar</t>
  </si>
  <si>
    <t>Se guarda la definicion de posiciones fijas por campo. Nota (verificado en int): sin Modo = Ancho fijo (mode:fixed-length) el reader parsea toda la linea como un solo valor y los campos por Start/End salen null</t>
  </si>
  <si>
    <t>POST reader TXT id=4 (26)</t>
  </si>
  <si>
    <t>CRDR-06</t>
  </si>
  <si>
    <t>Editar un reader</t>
  </si>
  <si>
    <t>Un reader guardado</t>
  </si>
  <si>
    <t>1) Abrir el reader &gt; Editar  2) Cambiar Encoding = ISO-8859-1 (o agregar un campo)  3) Guardar</t>
  </si>
  <si>
    <t>El cambio se guarda</t>
  </si>
  <si>
    <t>PUT editar reader SWIFT 200 (27)</t>
  </si>
  <si>
    <t>CRDR-07</t>
  </si>
  <si>
    <t>Desactivar / Reactivar reader (baja logica)</t>
  </si>
  <si>
    <t>Un reader Activo</t>
  </si>
  <si>
    <t>1) Abrir el reader  2) Desactivar  3) Filtro Estado = Inactivo: confirmar  4) Reactivar</t>
  </si>
  <si>
    <t>Pasa a Inactivo y se reactiva; sin borrado fisico</t>
  </si>
  <si>
    <t>PUT desactivar reader JSON 200 (27)</t>
  </si>
  <si>
    <t>CPRO-01</t>
  </si>
  <si>
    <t>CPRO</t>
  </si>
  <si>
    <t>Listar, buscar y filtrar procesos</t>
  </si>
  <si>
    <t>Login admin (P); menu Procesos (/appih/#/processes)</t>
  </si>
  <si>
    <t>1) Abrir Procesos  2) Ver la lista  3) Buscar por nombre/descripcion/id  4) Filtrar por Modo (programado / todos)</t>
  </si>
  <si>
    <t>La lista se filtra; cada fila muestra nombre, descripcion, estado y ultima/proxima corrida</t>
  </si>
  <si>
    <t>GET process-definitions 200 (lista)</t>
  </si>
  <si>
    <t>CPRO-02</t>
  </si>
  <si>
    <t>Ver el detalle de un proceso (solo lectura)</t>
  </si>
  <si>
    <t>Login admin (P); un proceso existente</t>
  </si>
  <si>
    <t>1) Procesos  2) Abrir un proceso  3) Ver Overview (nombre, descripcion, ultima/proxima corrida) y las tareas del pipeline</t>
  </si>
  <si>
    <t>Se ve el detalle completo sin editar; las tareas del flujo se muestran en orden</t>
  </si>
  <si>
    <t>GET process-definitions/1 detalle 6 tareas</t>
  </si>
  <si>
    <t>CPRO-03</t>
  </si>
  <si>
    <t>Crear un proceso (metadata)</t>
  </si>
  <si>
    <t>1) Procesos &gt; Crear proceso  2) Nombre = Proceso QA demo ; Descripcion = Proceso de prueba QA  3) Programado (Scheduled) = OFF (ejecucion manual) ; Activo = ON  4) Guardar</t>
  </si>
  <si>
    <t>El proceso se crea (aun sin tareas); armar el grafo de tareas es avanzado -&gt; ver CPRO-07</t>
  </si>
  <si>
    <t>POST process 6 tareas MT101 id=1 (21)</t>
  </si>
  <si>
    <t>CPRO-04</t>
  </si>
  <si>
    <t>Editar metadata del proceso</t>
  </si>
  <si>
    <t>Un proceso guardado</t>
  </si>
  <si>
    <t>1) Abrir el proceso &gt; Editar  2) Cambiar Descripcion / activar Programado y poner Frecuencia (Every)  3) Guardar</t>
  </si>
  <si>
    <t>PUT process (batchSize) 200</t>
  </si>
  <si>
    <t>CPRO-05</t>
  </si>
  <si>
    <t>Ejecutar un proceso (Run)</t>
  </si>
  <si>
    <t>Login admin (P); un proceso ejecutable</t>
  </si>
  <si>
    <t>1) Abrir el proceso  2) Click Ejecutar (Run)  3) Esperar el aviso</t>
  </si>
  <si>
    <t>Muestra 'Proceso ejecutado con exito'; la corrida aparece en Ejecuciones (/appih/#/executions)</t>
  </si>
  <si>
    <t>POST process-executions -&gt; COMPLETED (22/25)</t>
  </si>
  <si>
    <t>CPRO-06</t>
  </si>
  <si>
    <t>Desactivar / Reactivar proceso (baja logica)</t>
  </si>
  <si>
    <t>Un proceso Activo</t>
  </si>
  <si>
    <t>1) Abrir el proceso  2) Desactivar (toggle Activo)  3) Filtro por estado: confirmar  4) Reactivar</t>
  </si>
  <si>
    <t>Pasa a Inactivo (no se agenda ni ejecuta) y se reactiva; sin borrado fisico</t>
  </si>
  <si>
    <t>PUT desactivar+reactivar proceso 200 (27b)</t>
  </si>
  <si>
    <t>CPRO-07</t>
  </si>
  <si>
    <t>Armar el pipeline de tareas (avanzado)</t>
  </si>
  <si>
    <t>Login admin (P); un proceso en edicion</t>
  </si>
  <si>
    <t>1) En el editor del proceso abrir la paleta de tareas (File read, Parse MT101, Validate, Build, Archive, Route, Pay, Status, Reconcile...)  2) Arrastrar y conectar las tareas  3) Configurar cada tarea (fuente, reader, conexion, tabla, mapeos)  4) Guardar</t>
  </si>
  <si>
    <t>Se compone el money-path MT101; requiere conocer el pipeline (apoyo dev). El money-path ya se valida en los modulos MP/PAY/STAT</t>
  </si>
  <si>
    <t>pipeline 10-tareas provisionado por API (dev)</t>
  </si>
  <si>
    <t>CPRO-08</t>
  </si>
  <si>
    <t>Ver la ejecucion en Ejecuciones</t>
  </si>
  <si>
    <t>Una corrida realizada (CPRO-05)</t>
  </si>
  <si>
    <t>1) Abrir /appih/#/executions  2) Buscar la corrida (por proceso o id)  3) Abrir el detalle &gt; Ver trazabilidad</t>
  </si>
  <si>
    <t>Se ve el estado de la corrida y las tareas ejecutadas; hay link a la trazabilidad (lineage)</t>
  </si>
  <si>
    <t>ejecucion verificada (process_execution/task) (23-25)</t>
  </si>
  <si>
    <t>F3. Flujo E2E (money-path)</t>
  </si>
  <si>
    <t>E2E-01</t>
  </si>
  <si>
    <t>E2E</t>
  </si>
  <si>
    <t>A1. Configurar la Conexion (Postgres, staging)</t>
  </si>
  <si>
    <t>1) Conexiones &gt; Nueva conexion (ver Datos-Formularios / CCON-02): Nombre=Conexion Postgres QA ; Motor=PostgreSQL ; JDBC URL=jdbc:postgresql://postgres:5432/integration_hub ; Usuario=postgres ; Password=admin  2) Probar  3) Guardar</t>
  </si>
  <si>
    <t>Probar OK; la conexion queda Activa. Es la base para staging y tablas del pipeline</t>
  </si>
  <si>
    <t>conexion Postgres creada (26)</t>
  </si>
  <si>
    <t>E2E-02</t>
  </si>
  <si>
    <t>A2. Configurar el Reader CSV MT101</t>
  </si>
  <si>
    <t>1) Readers &gt; Nuevo reader (ver CRDR-03): Nombre=Reader CSV MT101 QA ; Tipo=CSV ; Delimiter=, ; Encoding=UTF-8 ; Data starts at row=2  2) Agregar 8 campos por posicion: dni(1), nombre(2), cuenta(3), moneda(4), monto(5 NUMBER), bic(6), concepto(7), cargos(8)  3) Guardar</t>
  </si>
  <si>
    <t>El reader guarda las 8 columnas; es el que parsea el CSV del banco a staging</t>
  </si>
  <si>
    <t>reader CSV MT101 creado (20)</t>
  </si>
  <si>
    <t>E2E-03</t>
  </si>
  <si>
    <t>A3. Configurar la Fuente SFTP (de donde se lee)</t>
  </si>
  <si>
    <t>1) Fuentes &gt; Nueva fuente (ver CSRC-02): Nombre=Fuente SFTP QA ; Tipo=SFTP ; Host=sftp-source ; Port=22 ; Username=ihsource ; Password=ihsource ; Remote path=/upload/mt101-10k.csv (ruta COMPLETA al archivo) ; Strict host key checking=OFF  2) Probar  3) Guardar</t>
  </si>
  <si>
    <t>Probar OK; la fuente queda Activa apuntando al archivo /upload/mt101-10k.csv del sftp-source</t>
  </si>
  <si>
    <t>fuente SFTP creada; remotePath=archivo (24)</t>
  </si>
  <si>
    <t>E2E-04</t>
  </si>
  <si>
    <t>A4. Provisionar el Proceso MT101 outbound (8 tareas, paginado)</t>
  </si>
  <si>
    <t>Fuente (E2E-03) y Reader (E2E-02) creados; sus IDs</t>
  </si>
  <si>
    <t>1) Dev crea el proceso via API POST /api/process-definitions con 8 tareas EN ORDEN (camino estandar paginado): FILE_READ(usa sourceId+readerId) -&gt; DB_WRITE (targetTable=staging_record, input=file-read.records) -&gt; MT101_BUILD_FROM_TABLE (lee la tabla staging; mapea moneda/monto/cuenta/nombre/dni/bic/concepto/cargos; envelope senderLt=SGOBFRPPAXXX receiverLt=BCPLPEPLXXXX; maxTransactionsPerMessage=2, sendersReferenceTemplate con ${messageIndex}) -&gt; MT101_VALIDATE (ruleSet=structural-mvp, failOn=ERROR) -&gt; MT101_ARCHIVE -&gt; MT101_PAY -&gt; MT101_STATUS -&gt; MT101_RECONCILE  (NOTA: el build en memoria MT101_BUILD se removio; la unica ruta de construccion es la paginada MT101_BUILD_FROM_TABLE, que absorbe el split)  2) QA: /appih/#/processes, abrir el proceso y verificar que existe, esta Activo y su FILE_READ apunta a la Fuente+Reader correctos</t>
  </si>
  <si>
    <t>El proceso MT101 queda disponible y Activo. Armarlo tarea-por-tarea en la UI es avanzado (paleta del editor); el boton 'MT101 masivo desde archivo' scaffolda exactamente este camino paginado con conectores</t>
  </si>
  <si>
    <t>proceso MT101 provisionado por API (21)</t>
  </si>
  <si>
    <t>E2E-05</t>
  </si>
  <si>
    <t>B. Dejar el archivo en la fuente (docker)</t>
  </si>
  <si>
    <t>Acceso al host docker; archivo de datos ya entregado en qa/fase-6-qa/datos-prueba/</t>
  </si>
  <si>
    <t>1) Usar el archivo entregado: mt101-10k.csv (10.000 filas, volumen) o mt101-6.csv (humo, 6 filas)  2) Como los puertos SFTP/FTP/MinIO NO estan expuestos al host, copiar con: docker cp mt101-10k.csv ih-int-sftp-source:/home/ihsource/upload/  3) (Alternativas: FTP -&gt; ih-int-ftp-source:/ftp/ihftp ; S3 -&gt; mc cp al bucket ih-source-inbox)</t>
  </si>
  <si>
    <t>El archivo queda en /upload, la carpeta exacta que lee la Fuente SFTP (E2E-03). Ver LEEME-datos.md para XLSX/TXT y la config de reader por formato</t>
  </si>
  <si>
    <t>mt101 dejado en sftp-source (docker cp) (22/24)</t>
  </si>
  <si>
    <t>E2E-06</t>
  </si>
  <si>
    <t>C1. Ejecutar el proceso (Run)</t>
  </si>
  <si>
    <t>Archivo dejado (E2E-05); login (P)</t>
  </si>
  <si>
    <t>1) Menu Procesos  2) Abrir el proceso MT101 outbound  3) Click Ejecutar</t>
  </si>
  <si>
    <t>Aviso 'Proceso ejecutado con exito'; en el menu Ejecuciones aparece una corrida nueva (la mas reciente arriba)</t>
  </si>
  <si>
    <t>ejecucion COMPLETED (22/25)</t>
  </si>
  <si>
    <t>E2E-07</t>
  </si>
  <si>
    <t>C2. FILE_READ + DB_WRITE -&gt; staging (vista Ejecuciones)</t>
  </si>
  <si>
    <t>Una corrida creada (E2E-06)</t>
  </si>
  <si>
    <t>1) Menu Ejecuciones  2) Abrir la corrida (la mas reciente)  3) Pestana 'Tareas' (Tareas ejecutadas)  4) Seleccionar FILE_READ y luego DB_WRITE  5) Leer las columnas Procesados / Escritos</t>
  </si>
  <si>
    <t>FILE_READ muestra Procesados=6; DB_WRITE muestra Escritos=6 (las 6 filas del CSV entraron a la tabla staging_record). Verificado por la vista, sin API</t>
  </si>
  <si>
    <t>FILE_READ 10000 validos, 0 saltados (25)</t>
  </si>
  <si>
    <t>E2E-08</t>
  </si>
  <si>
    <t>C3. BUILD_FROM_TABLE -&gt; fragmentos (vista Fragmentos MT101)</t>
  </si>
  <si>
    <t>Corrida abierta</t>
  </si>
  <si>
    <t>1) En la corrida &gt; pestana 'Tareas': ver MT101_BUILD_FROM_TABLE (Procesados/Escritos)  2) Menu Auditoria &gt; Fragmentos MT101  3) Buscar por la fila origen o la ejecucion</t>
  </si>
  <si>
    <t>MT101_BUILD_FROM_TABLE lee las 6 filas de staging y genera 3 fragmentos (2 tx por fragmento) directamente -- absorbe el split (ya no hay tarea SPLIT). La vista Fragmentos MT101 lista los 3</t>
  </si>
  <si>
    <t>BUILD 10000 tx / SPLIT 5000 fragmentos (25)</t>
  </si>
  <si>
    <t>E2E-09</t>
  </si>
  <si>
    <t>C4. VALIDATE -&gt; 0 invalidos</t>
  </si>
  <si>
    <t>1) Pestana 'Tareas' &gt; seleccionar MT101_VALIDATE  2) Ver el resumen de la tarea</t>
  </si>
  <si>
    <t>MT101_VALIDATE sin invalidos (0 issues). Si hubiera una fila mala, apareceria en Auditoria &gt; Cuarentena MT101 (ver E2E-15)</t>
  </si>
  <si>
    <t>VALIDATE 5000 msg invalid=0 issues=0 (25)</t>
  </si>
  <si>
    <t>E2E-10</t>
  </si>
  <si>
    <t>C5. ARCHIVE -&gt; archivado</t>
  </si>
  <si>
    <t>1) Pestana 'Tareas' &gt; seleccionar MT101_ARCHIVE  2) Ver Procesados/Escritos</t>
  </si>
  <si>
    <t>MT101_ARCHIVE archiva los 3 mensajes (Escritos=3)</t>
  </si>
  <si>
    <t>ARCHIVE 5000 msg (2.1MB) (25)</t>
  </si>
  <si>
    <t>E2E-11</t>
  </si>
  <si>
    <t>C6. PAY -&gt; SENT (vista Fragmentos MT101)</t>
  </si>
  <si>
    <t>Corrida abierta; canal (sftp-bank/REST) OK</t>
  </si>
  <si>
    <t>1) Pestana 'Tareas' &gt; MT101_PAY: ver el resumen (enviados/aceptados)  2) Menu Auditoria &gt; Fragmentos MT101  3) Ver el estado de los 3 fragmentos</t>
  </si>
  <si>
    <t>MT101_PAY: enviados=3 aceptados=3 rechazados=0; en Fragmentos MT101 los 3 quedan en estado SENT (entregado al banco)</t>
  </si>
  <si>
    <t>PAY via REST dispatch=3 sent=3 accepted=3 (gateway mock) (34)</t>
  </si>
  <si>
    <t>E2E-12</t>
  </si>
  <si>
    <t>C7. STATUS -&gt; confirmado</t>
  </si>
  <si>
    <t>PAY hecho</t>
  </si>
  <si>
    <t>1) Pestana 'Tareas' &gt; seleccionar MT101_STATUS  2) Ver el resumen</t>
  </si>
  <si>
    <t>MT101_STATUS: consultados=3 confirmados=3 errores=0 (releyo la respuesta del banco)</t>
  </si>
  <si>
    <t>STATUS queried=3, status final del gateway procesado (34)</t>
  </si>
  <si>
    <t>E2E-13</t>
  </si>
  <si>
    <t>C8. RECONCILE -&gt; cuadre</t>
  </si>
  <si>
    <t>STATUS hecho</t>
  </si>
  <si>
    <t>1) Pestana 'Tareas' &gt; seleccionar MT101_RECONCILE  2) Ver el resumen</t>
  </si>
  <si>
    <t>MT101_RECONCILE: enviado == confirmado; sin excepciones (toda diferencia quedaria visible como excepcion)</t>
  </si>
  <si>
    <t>RECONCILE: depende de PAY/STATUS</t>
  </si>
  <si>
    <t>E2E-14</t>
  </si>
  <si>
    <t>C9. Trazabilidad E2E (vista Linaje)</t>
  </si>
  <si>
    <t>Corrida terminada; login (P)</t>
  </si>
  <si>
    <t>1) En el detalle de la corrida: boton 'Ver trazabilidad del registro'  2) (o) Menu Auditoria &gt; Linaje y buscar por la referencia :20: (sendersReference, ej. S&lt;idEjecucion&gt;)</t>
  </si>
  <si>
    <t>Se ve la linea de tiempo completa: archivo -&gt; staging -&gt; fragmento -&gt; PAY -&gt; confirmacion. Todo por la UI</t>
  </si>
  <si>
    <t>trazabilidad verificada por tareas/BD (24/25)</t>
  </si>
  <si>
    <t>E2E-15</t>
  </si>
  <si>
    <t>D1. Reproceso: fila invalida -&gt; Cuarentena -&gt; corregir -&gt; reconstruir</t>
  </si>
  <si>
    <t>maker: dev prepara un CSV con 1 fila mala; login como payments-operator (P)</t>
  </si>
  <si>
    <t>1) Menu Auditoria &gt; Cuarentena MT101  2) Abrir la fila invalida  3) Corregir el dato y Guardar  4) Usar Reconstruir / PAY correctivo de la MISMA vista</t>
  </si>
  <si>
    <t>Solo la fila mala esta en Cuarentena MT101; las validas siguieron. Corregida se reconstruye y continua. Todo por la vista Cuarentena (sin API)</t>
  </si>
  <si>
    <t>UI Cuarentena (login)</t>
  </si>
  <si>
    <t>E2E-16</t>
  </si>
  <si>
    <t>D2. Reproceso: reingreso del MISMO archivo (idempotencia)</t>
  </si>
  <si>
    <t>Un archivo ya procesado (E2E-06); dev vuelve a dejar el mismo mt101.csv</t>
  </si>
  <si>
    <t>1) (dev) docker cp del MISMO mt101.csv a /upload  2) Menu Procesos &gt; Ejecutar otra vez  3) Menu Ejecuciones &gt; abrir la corrida nueva &gt; pestana 'Tareas' &gt; MT101_PAY  4) Menu Auditoria &gt; Fragmentos MT101</t>
  </si>
  <si>
    <t>La corrida nueva no genera pagos: MT101_PAY enviados=0 (dedupe por hash); en Fragmentos MT101 no aparecen SENT nuevos. Verificado por la UI</t>
  </si>
  <si>
    <t>idempotencia PAY (requiere canal banco)</t>
  </si>
  <si>
    <t>E2E-17</t>
  </si>
  <si>
    <t>D3. Reproceso: rechazo del banco -&gt; Conflicto -&gt; run correctivo</t>
  </si>
  <si>
    <t>Un pago SENT; dev fuerza el rechazo (test)</t>
  </si>
  <si>
    <t>1) Menu Auditoria &gt; Conflictos de pago: aparece el PAY_CONFLICT  2) Abrir el conflicto y Solicitar la correccion (genera run hijo)  3) Menu Ejecuciones &gt; abrir la corrida padre &gt; seccion 'Ejecuciones hijas' &gt; abrir el run hijo</t>
  </si>
  <si>
    <t>En Conflictos de pago se ve el conflicto; el run hijo (en Ejecuciones hijas) reprocesa SOLO los rechazados y queda PARTIALLY_SENT; los aceptados no se tocan. Todo por la UI</t>
  </si>
  <si>
    <t>reproceso PAY (canal banco)</t>
  </si>
  <si>
    <t>E2E-18</t>
  </si>
  <si>
    <t>D4. Reproceso: pago no enviado -&gt; re-solicitar</t>
  </si>
  <si>
    <t>Un pago quedo invalidado (dev corta el canal pre-dispatch)</t>
  </si>
  <si>
    <t>1) Menu Auditoria &gt; Fragmentos MT101: el fragmento figura invalidado (no llego al banco)  2) Re-solicitar el pago desde la vista (Cuarentena MT101 / Fragmentos)  3) Menu Ejecuciones &gt; corrida &gt; pestana 'Tareas' &gt; MT101_PAY</t>
  </si>
  <si>
    <t>Se envia exactamente 1: en Fragmentos MT101 el pago pasa a SENT una sola vez (el banco tiene 1 pago por :20:). Verificado por la UI</t>
  </si>
  <si>
    <t>E2E-19</t>
  </si>
  <si>
    <t>D5. Reproceso gobernado: maker-checker (four-eyes)</t>
  </si>
  <si>
    <t>maker-checker ON; pay-maker/pay-checker (P); un conflicto abierto</t>
  </si>
  <si>
    <t>1) Como pay-maker: Auditoria &gt; Conflictos de pago &gt; Resolver &gt; Solicitar reconocimiento (motivo+ticket)  2) Como pay-checker (distinto): abrir el conflicto &gt; Aprobar  3) Auditoria &gt; Spool: ver las tramas</t>
  </si>
  <si>
    <t>El conflicto se resuelve con doble control; en Spool se ven las tramas ACK_REQUESTED/RESOLVED (ver modulo MC). Todo por la UI</t>
  </si>
  <si>
    <t>UI maker-checker (login)</t>
  </si>
  <si>
    <t>E2E-20</t>
  </si>
  <si>
    <t>E. Inbound: SWIFT FIN -&gt; parse -&gt; route (opcional)</t>
  </si>
  <si>
    <t>Reader SWIFT_MT y proceso inbound provisionados (dev); un FIN dejado en la fuente</t>
  </si>
  <si>
    <t>1) Menu Procesos &gt; Ejecutar el proceso inbound  2) Menu Ejecuciones &gt; abrir la corrida &gt; pestana 'Tareas'  3) Ver MT101_PARSE y MT101_ROUTE</t>
  </si>
  <si>
    <t>En la pestana 'Tareas': MT101_PARSE parsea el FIN y MT101_ROUTE lo enruta (INBOUND_REVIEW/UNMATCHED). Verificado por la UI</t>
  </si>
  <si>
    <t>inbound FIN: PARSE 2 tx, ROUTE INBOUND_REVIEW (32)</t>
  </si>
  <si>
    <t>E2E-21</t>
  </si>
  <si>
    <t>Escala 1.000.000: preparar el archivo</t>
  </si>
  <si>
    <t>Acceso al host docker</t>
  </si>
  <si>
    <t>1) Generar mt101-1m.csv con datos-prueba/gen-mt101-1m.cjs (1.000.000 filas, ~94 MB; no se commitea, se regenera)  2) docker cp mt101-1m.csv ih-int-sftp-source:/home/ihsource/upload/  3) Apuntar la Fuente SFTP a Remote path=/upload/mt101-1m.csv</t>
  </si>
  <si>
    <t>El archivo de 1M queda en /upload, la carpeta que lee la fuente</t>
  </si>
  <si>
    <t>No-funcional</t>
  </si>
  <si>
    <t>1M generado (94MB, gen-mt101-1m.cjs) + dejado en sftp-source (docker cp OK)</t>
  </si>
  <si>
    <t>E2E-22</t>
  </si>
  <si>
    <t>Escala 1.000.000: ejecutar el money-path</t>
  </si>
  <si>
    <t>Archivo 1M dejado (E2E-21); heap acotado</t>
  </si>
  <si>
    <t>1) Ejecutar el proceso MT101 (batchSize alto para drenar en una, o el scheduler iterando por lotes)  2) Monitorear memoria y tiempo</t>
  </si>
  <si>
    <t>1.000.000 -&gt; construidos/archivados sin OOM ni deadlock; ~14 min de referencia (cubierto por Mt101MillionFileProcessE2EIT)</t>
  </si>
  <si>
    <t>1M pipeline PAGINADO (FILE_READ-&gt;DB_WRITE staging-&gt;BUILD_FROM_TABLE-&gt;VALIDATE-&gt;ARCHIVE-&gt;PAY) via Mt101MillionFileProcessE2EIT: 1M filas -&gt; SENT, BUILD SUCCESS, -Xmx768m sin OOM (~14min), Surefire XML archivado (evidencia-1M-20260715.md)</t>
  </si>
  <si>
    <t>E2E-23</t>
  </si>
  <si>
    <t>Escala 1.000.000: verificar por la vista</t>
  </si>
  <si>
    <t>Corrida 1M terminada; login (P)</t>
  </si>
  <si>
    <t>1) Ejecuciones &gt; la corrida &gt; pestana Tareas: FILE_READ Escritos=1.000.000  2) Auditoria &gt; Fragmentos MT101 (buscar por fila origen)  3) Conteos de fragmentos/archivo</t>
  </si>
  <si>
    <t>FILE_READ=1.000.000, 0 saltados; fragmentos y archivo coherentes; 0 fallidos</t>
  </si>
  <si>
    <t>verificar 1M POR LA VISTA (UI) en el stack live: PENDIENTE. El IT (E2E-22) verifica por aserciones, no por la UI; el intento live (35-e2e-1m.txt) quedo en ~10k y la BD live no persiste 1M. Requiere correr 1M en int live + login UI</t>
  </si>
  <si>
    <t>F4. Profundizacion por etapa</t>
  </si>
  <si>
    <t>SRC-01</t>
  </si>
  <si>
    <t>SRC</t>
  </si>
  <si>
    <t>Lectura por SFTP</t>
  </si>
  <si>
    <t>sftp-source arriba; una fuente SFTP configurada</t>
  </si>
  <si>
    <t>1) Dejar un archivo en la carpeta upload del sftp-source  2) Ejecutar la fuente/proceso que lee SFTP</t>
  </si>
  <si>
    <t>El archivo se lee e ingresa al pipeline</t>
  </si>
  <si>
    <t>lectura por SFTP OK (22/25)</t>
  </si>
  <si>
    <t>SRC-02</t>
  </si>
  <si>
    <t>SFTP host key correcta</t>
  </si>
  <si>
    <t>known_hosts con la host key del servidor</t>
  </si>
  <si>
    <t>1) Conectar por SFTP (verificacion de host key activa)</t>
  </si>
  <si>
    <t>La conexion se establece OK</t>
  </si>
  <si>
    <t>host key SFTP (known_hosts + dev)</t>
  </si>
  <si>
    <t>SRC-03</t>
  </si>
  <si>
    <t>SFTP host key incorrecta</t>
  </si>
  <si>
    <t>known_hosts sin/con la key erronea</t>
  </si>
  <si>
    <t>1) Intentar conectar por SFTP</t>
  </si>
  <si>
    <t>La conexion se rechaza (host key no coincide)</t>
  </si>
  <si>
    <t>host key erronea (dev)</t>
  </si>
  <si>
    <t>SRC-04</t>
  </si>
  <si>
    <t>SFTP credencial invalida</t>
  </si>
  <si>
    <t>1) Configurar user/pass incorrecto y conectar</t>
  </si>
  <si>
    <t>Falla de forma controlada; no se cuelga</t>
  </si>
  <si>
    <t>credencial SFTP invalida (dev)</t>
  </si>
  <si>
    <t>SRC-05</t>
  </si>
  <si>
    <t>Lectura por FTP</t>
  </si>
  <si>
    <t>ftp-source arriba</t>
  </si>
  <si>
    <t>1) Dejar un archivo en el FTP  2) Ejecutar la fuente FTP</t>
  </si>
  <si>
    <t>El archivo se lee</t>
  </si>
  <si>
    <t>lectura FTP 6 registros (remotePath=/ftp/ihftp+template) (33)</t>
  </si>
  <si>
    <t>SRC-06</t>
  </si>
  <si>
    <t>Lectura por S3/MinIO</t>
  </si>
  <si>
    <t>bucket ih-source-inbox</t>
  </si>
  <si>
    <t>1) Subir un objeto al bucket  2) Ejecutar la fuente S3 (Auth mode = access-key)</t>
  </si>
  <si>
    <t>El objeto se lee. Requiere authMode:access-key (ver CSRC-03); sin el cae a la cadena AWS y da 'Unable to load credentials'</t>
  </si>
  <si>
    <t>lectura S3/MinIO 6 registros (fileNameTemplate) (33)</t>
  </si>
  <si>
    <t>SRC-07</t>
  </si>
  <si>
    <t>Formato CSV</t>
  </si>
  <si>
    <t>1) Ingresar un CSV valido</t>
  </si>
  <si>
    <t>Se parsea a staging con la posicion fisica (numero de linea)</t>
  </si>
  <si>
    <t>CSV parseado a staging (25)</t>
  </si>
  <si>
    <t>SRC-08</t>
  </si>
  <si>
    <t>Formato TXT/FIN</t>
  </si>
  <si>
    <t>1) Ingresar un archivo TXT/FIN con un reader TXT en Modo = Ancho fijo (fixed-length)</t>
  </si>
  <si>
    <t>Se parsea a staging. El reader TXT requiere mode:fixed-length (ver CRDR-05); con el modo por defecto (delimited) los campos por Start/End salen null</t>
  </si>
  <si>
    <t>lectura TXT ancho fijo 10000 registros (32)</t>
  </si>
  <si>
    <t>SRC-09</t>
  </si>
  <si>
    <t>Formato Excel</t>
  </si>
  <si>
    <t>1) Ingresar un .xlsx</t>
  </si>
  <si>
    <t>Se parsea con la posicion (hoja + fila)</t>
  </si>
  <si>
    <t>lectura Excel XLSX 10000 registros (32)</t>
  </si>
  <si>
    <t>SRC-10</t>
  </si>
  <si>
    <t>Archivo vacio/corrupto</t>
  </si>
  <si>
    <t>1) Ingresar un archivo vacio o corrupto</t>
  </si>
  <si>
    <t>Error controlado; no rompe el pipeline</t>
  </si>
  <si>
    <t>corrupto: 2 registros, sin crash (controlado) (32)</t>
  </si>
  <si>
    <t>SRC-11</t>
  </si>
  <si>
    <t>Archivo duplicado (mismo contenido)</t>
  </si>
  <si>
    <t>Un archivo ya procesado</t>
  </si>
  <si>
    <t>1) Reingresar el mismo archivo  2) Correr el proceso</t>
  </si>
  <si>
    <t>No se reprocesa (dedupe por hash); 0 pagos nuevos</t>
  </si>
  <si>
    <t>dedup PAY (requiere canal banco); reingreso re-staged</t>
  </si>
  <si>
    <t>MP-01</t>
  </si>
  <si>
    <t>MP</t>
  </si>
  <si>
    <t>Camino feliz de punta a punta</t>
  </si>
  <si>
    <t>Fuente y proceso MT101 configurados; canal de pago listo</t>
  </si>
  <si>
    <t>1) Ingresar un archivo valido  2) Ejecutar el proceso MT101 completo (Procesos/Ejecuciones)  3) Login (P) y revisar el resultado en Audit</t>
  </si>
  <si>
    <t>Todas las filas terminan en SENT (leidas -&gt; construidas -&gt; validadas -&gt; archivadas -&gt; pagadas)</t>
  </si>
  <si>
    <t>llega a ARCHIVE; SENT requiere canal del banco</t>
  </si>
  <si>
    <t>MP-02</t>
  </si>
  <si>
    <t>Escritura a staging</t>
  </si>
  <si>
    <t>Archivo ingresado; una corrida ejecutada; login (P)</t>
  </si>
  <si>
    <t>1) Menu Ejecuciones  2) Abrir la corrida  3) Pestana 'Tareas' &gt; seleccionar FILE_READ  4) Ver Procesados / Escritos</t>
  </si>
  <si>
    <t>FILE_READ muestra Escritos = numero de filas del archivo (las filas quedaron en staging). Verificado por la vista, sin API</t>
  </si>
  <si>
    <t>staging: FILE_READ escribio 10000 (25)</t>
  </si>
  <si>
    <t>MP-03</t>
  </si>
  <si>
    <t>Construccion de fragmentos MT101</t>
  </si>
  <si>
    <t>Filas en staging</t>
  </si>
  <si>
    <t>1) Ejecutar la etapa de construccion</t>
  </si>
  <si>
    <t>Se crean los fragmentos MT101</t>
  </si>
  <si>
    <t>fragmentos MT101 construidos (25)</t>
  </si>
  <si>
    <t>MP-04</t>
  </si>
  <si>
    <t>Validacion OK</t>
  </si>
  <si>
    <t>Fragmento valido</t>
  </si>
  <si>
    <t>1) Ejecutar la validacion</t>
  </si>
  <si>
    <t>El fragmento pasa como valido</t>
  </si>
  <si>
    <t>validate OK invalid=0 (25)</t>
  </si>
  <si>
    <t>MP-05</t>
  </si>
  <si>
    <t>Estructura invalida -&gt; cuarentena</t>
  </si>
  <si>
    <t>Fila con estructura invalida</t>
  </si>
  <si>
    <t>1) Ingresar la fila mala y validar  2) Login (P), Audit &gt; Quarantine</t>
  </si>
  <si>
    <t>La fila aparece en Quarantine con un codigo STRUCT; las filas buenas siguen</t>
  </si>
  <si>
    <t>VALIDATE rechaza invalidos -&gt; mt101_validation_issue (28)</t>
  </si>
  <si>
    <t>MP-06</t>
  </si>
  <si>
    <t>Monto no positivo -&gt; cuarentena</t>
  </si>
  <si>
    <t>Fila con monto &lt;= 0</t>
  </si>
  <si>
    <t>1) Validar la fila  2) Ver Quarantine</t>
  </si>
  <si>
    <t>La fila queda en Quarantine (AMOUNT_POSITIVE)</t>
  </si>
  <si>
    <t>monto&lt;=0 -&gt; STRUCT.AMOUNT_POSITIVE (28)</t>
  </si>
  <si>
    <t>MP-07</t>
  </si>
  <si>
    <t>Monto no numerico -&gt; cuarentena</t>
  </si>
  <si>
    <t>Fila con monto no numerico</t>
  </si>
  <si>
    <t>1) Validar  2) Ver Quarantine</t>
  </si>
  <si>
    <t>Queda en Quarantine (hoy con AMOUNT_POSITIVE)</t>
  </si>
  <si>
    <t>validacion de monto (AMOUNT_POSITIVE) (28)</t>
  </si>
  <si>
    <t>MP-08</t>
  </si>
  <si>
    <t>La cuarentena aisla la fila mala</t>
  </si>
  <si>
    <t>Login (P); un lote con 1 fila invalida ya procesado</t>
  </si>
  <si>
    <t>1) Audit &gt; Quarantine para ese set</t>
  </si>
  <si>
    <t>Solo la fila invalida esta en cuarentena; las validas continuaron el flujo</t>
  </si>
  <si>
    <t>UI Quarantine (login)</t>
  </si>
  <si>
    <t>MP-09</t>
  </si>
  <si>
    <t>Corregir una fila en cuarentena</t>
  </si>
  <si>
    <t>Login como payments-operator (P); una fila en Quarantine</t>
  </si>
  <si>
    <t>1) Audit &gt; Quarantine  2) Abrir la fila, corregir el dato  3) Guardar</t>
  </si>
  <si>
    <t>La fila se corrige y vuelve a validarse</t>
  </si>
  <si>
    <t>corregir cuarentena (UI)</t>
  </si>
  <si>
    <t>MP-10</t>
  </si>
  <si>
    <t>Correccion sin If-Match</t>
  </si>
  <si>
    <t>Una fila en cuarentena</t>
  </si>
  <si>
    <t>1) Con API, corregir sin la cabecera If-Match</t>
  </si>
  <si>
    <t>HTTP 400 (se exige If-Match para evitar pisar cambios)</t>
  </si>
  <si>
    <t>If-Match: contrato API (dev)</t>
  </si>
  <si>
    <t>MP-11</t>
  </si>
  <si>
    <t>Modificacion concurrente</t>
  </si>
  <si>
    <t>La misma fila editada por 2 a la vez</t>
  </si>
  <si>
    <t>1) Con dev, editar la fila con una version vieja</t>
  </si>
  <si>
    <t>HTTP 409 (bloqueo optimista)</t>
  </si>
  <si>
    <t>Concurrencia</t>
  </si>
  <si>
    <t>bloqueo optimista concurrente (dev)</t>
  </si>
  <si>
    <t>MP-12</t>
  </si>
  <si>
    <t>Archivado</t>
  </si>
  <si>
    <t>Fragmento validado</t>
  </si>
  <si>
    <t>1) Ejecutar la etapa de archivo</t>
  </si>
  <si>
    <t>El fragmento queda archivado</t>
  </si>
  <si>
    <t>archivado 5000 (25)</t>
  </si>
  <si>
    <t>MP-13</t>
  </si>
  <si>
    <t>Enrutado al canal</t>
  </si>
  <si>
    <t>Fragmento archivado</t>
  </si>
  <si>
    <t>1) Ejecutar la etapa de ruteo</t>
  </si>
  <si>
    <t>Se enruta al canal correcto (SFTP/REST) segun la config</t>
  </si>
  <si>
    <t>ruteo al canal (banco)</t>
  </si>
  <si>
    <t>MP-14</t>
  </si>
  <si>
    <t>Referencia :20: por transaccion</t>
  </si>
  <si>
    <t>Set con varias transacciones</t>
  </si>
  <si>
    <t>1) Construir  2) Revisar cada fragmento</t>
  </si>
  <si>
    <t>Cada transaccion tiene su propia referencia :20:</t>
  </si>
  <si>
    <t>senders_reference :20: distinto por mensaje (30)</t>
  </si>
  <si>
    <t>MP-15</t>
  </si>
  <si>
    <t>Division en fragmentos</t>
  </si>
  <si>
    <t>Un set grande</t>
  </si>
  <si>
    <t>1) Ejecutar la division</t>
  </si>
  <si>
    <t>El set se parte en varios fragmentos coherentes</t>
  </si>
  <si>
    <t>split en 5000 fragmentos (25)</t>
  </si>
  <si>
    <t>MP-16</t>
  </si>
  <si>
    <t>Automatizado-IT</t>
  </si>
  <si>
    <t>Reprocesar una fila exacta en un lote grande</t>
  </si>
  <si>
    <t>Lote grande con 1 fila fallida</t>
  </si>
  <si>
    <t>1) Localizar esa fila y reprocesarla</t>
  </si>
  <si>
    <t>Se reprocesa exactamente esa fila, sin duplicar ni afectar otras. Cubierto por los ITs H4</t>
  </si>
  <si>
    <t>cubierto por prueba automatica (IT) en el build; ver IT en Resultado esperado</t>
  </si>
  <si>
    <t>MP-17</t>
  </si>
  <si>
    <t>Semantica de lotes (batchSize)</t>
  </si>
  <si>
    <t>Archivo grande (10k/1M)</t>
  </si>
  <si>
    <t>1) Ejecutar el BUILD con batchSize=N  2) Ver cuantos registros procesa por corrida</t>
  </si>
  <si>
    <t>Cada ejecucion procesa hasta batchSize registros (lotes reanudables); para drenar todo se re-ejecuta o el scheduler itera. Verificado: batchSize=100 -&gt; 100/corrida; batchSize=20000 -&gt; 10000 en una</t>
  </si>
  <si>
    <t>batchSize=100 -&gt; 100/corrida ; batchSize=20000 -&gt; 10000 en una (verificado)</t>
  </si>
  <si>
    <t>PAY-01</t>
  </si>
  <si>
    <t>PAY</t>
  </si>
  <si>
    <t>Pago normal exitoso</t>
  </si>
  <si>
    <t>Fragmento archivado; canal OK</t>
  </si>
  <si>
    <t>1) Ejecutar el pago  2) Login (P), revisar el estado</t>
  </si>
  <si>
    <t>El banco acepta -&gt; estado SENT</t>
  </si>
  <si>
    <t>PAY-&gt;SENT requiere canal del banco</t>
  </si>
  <si>
    <t>PAY-02</t>
  </si>
  <si>
    <t>Solo se reclama lo archivado</t>
  </si>
  <si>
    <t>1) Ejecutar pago sobre fragmentos en distintos estados</t>
  </si>
  <si>
    <t>Solo procesa los ARCHIVED; no toca otros. Cubierto por Mt101PayNormalDurableTest</t>
  </si>
  <si>
    <t>PAY-03</t>
  </si>
  <si>
    <t>Aceptado -&gt; SENT</t>
  </si>
  <si>
    <t>Transporte devuelve 'aceptado'</t>
  </si>
  <si>
    <t>1) Ejecutar pago</t>
  </si>
  <si>
    <t>Queda SENT. Cubierto por los ITs de PAY normal</t>
  </si>
  <si>
    <t>PAY-04</t>
  </si>
  <si>
    <t>Rechazo real del banco -&gt; FAILED</t>
  </si>
  <si>
    <t>El banco responde NACK</t>
  </si>
  <si>
    <t>1) Con dev, hacer que el banco rechace el pago</t>
  </si>
  <si>
    <t>Queda FAILED (terminal); NO se re-envia solo; el motivo del banco queda auditado</t>
  </si>
  <si>
    <t>NACK real del banco</t>
  </si>
  <si>
    <t>PAY-05</t>
  </si>
  <si>
    <t>Fallo ANTES de enviar -&gt; re-solicitable</t>
  </si>
  <si>
    <t>Canal caido antes del envio</t>
  </si>
  <si>
    <t>1) Con dev, cortar el canal antes del despacho  2) Ejecutar pago</t>
  </si>
  <si>
    <t>Queda 'invalidado' (nunca llego al banco) y se puede re-solicitar. Cubierto por los ITs de transporte (D.2)</t>
  </si>
  <si>
    <t>PAY-06</t>
  </si>
  <si>
    <t>Timeout ambiguo -&gt; queda para conciliar</t>
  </si>
  <si>
    <t>Corte durante/despues del envio</t>
  </si>
  <si>
    <t>1) Con dev, cortar durante el envio</t>
  </si>
  <si>
    <t>Queda 'incierto' (pudo llegar); NO reenvia; se concilia despues. Cubierto por los ITs de PAY</t>
  </si>
  <si>
    <t>PAY-07</t>
  </si>
  <si>
    <t>Re-solicitar un pago no enviado</t>
  </si>
  <si>
    <t>Un pago quedo 'invalidado'</t>
  </si>
  <si>
    <t>1) Re-solicitar el pago  2) Verificar en el banco</t>
  </si>
  <si>
    <t>Se envia exactamente 1; el banco tiene 1 solo pago por :20:</t>
  </si>
  <si>
    <t>re-solicitar: requiere canal del banco</t>
  </si>
  <si>
    <t>PAY-08</t>
  </si>
  <si>
    <t>Aceptacion tardia de un 'incierto'</t>
  </si>
  <si>
    <t>Un pago 'incierto'; luego llega la aceptacion</t>
  </si>
  <si>
    <t>1) Que llegue la aceptacion tardia</t>
  </si>
  <si>
    <t>El pago pasa a SENT sin generar un segundo pago. Cubierto por payLateAcceptanceAfterLeaseExpiry</t>
  </si>
  <si>
    <t>PAY-09</t>
  </si>
  <si>
    <t>Idempotencia de reenvio</t>
  </si>
  <si>
    <t>Un archivo ya pagado</t>
  </si>
  <si>
    <t>1) Reprocesar el mismo archivo</t>
  </si>
  <si>
    <t>0 pagos nuevos al banco</t>
  </si>
  <si>
    <t>idempotencia a nivel PAY (requiere canal banco)</t>
  </si>
  <si>
    <t>PAY-10</t>
  </si>
  <si>
    <t>Reinicio a mitad de pago</t>
  </si>
  <si>
    <t>App se cae durante el despacho</t>
  </si>
  <si>
    <t>1) Con dev, matar el proceso y reiniciar</t>
  </si>
  <si>
    <t>No se re-despacha; queda incierto/consistente; sin duplicado. Cubierto por los ITs de claim</t>
  </si>
  <si>
    <t>PAY-11</t>
  </si>
  <si>
    <t>Contencion: 1 solo gana</t>
  </si>
  <si>
    <t>2 nodos / varios hilos por el mismo item</t>
  </si>
  <si>
    <t>1) Ejecutar la contencion (test)</t>
  </si>
  <si>
    <t>Exactamente 1 ejecuta el pago. Cubierto por AsyncInboxClaimIT (8 hilos)</t>
  </si>
  <si>
    <t>PAY-12</t>
  </si>
  <si>
    <t>Fencing de nodo caido</t>
  </si>
  <si>
    <t>Nodo A muere; su lease vence</t>
  </si>
  <si>
    <t>1) Otro nodo re-clama; A 'despierta'</t>
  </si>
  <si>
    <t>B recupera; A no puede pisar (token distinto); cero doble-ejecucion. Cubierto por AsyncInboxClaimIT</t>
  </si>
  <si>
    <t>PAY-13</t>
  </si>
  <si>
    <t>Heartbeat protege el lease</t>
  </si>
  <si>
    <t>Lease vivo renovado por heartbeat</t>
  </si>
  <si>
    <t>1) Otro nodo intenta tomar el item</t>
  </si>
  <si>
    <t>No lo roba mientras el lease este vivo. Cubierto por AsyncInboxClaimIT</t>
  </si>
  <si>
    <t>PAY-14</t>
  </si>
  <si>
    <t>Recovery de pago con lease vencido</t>
  </si>
  <si>
    <t>Pago con lease vencido</t>
  </si>
  <si>
    <t>1) Ejecutar el barrido de recuperacion</t>
  </si>
  <si>
    <t>Queda incierto (si despacho) o invalidado (si no); nunca reenvio ciego. Cubierto por los ITs</t>
  </si>
  <si>
    <t>PAY-15</t>
  </si>
  <si>
    <t>Pago por lista (in-memory)</t>
  </si>
  <si>
    <t>direct-list habilitado</t>
  </si>
  <si>
    <t>1) Ejecutar un pago por lista</t>
  </si>
  <si>
    <t>Se despacha por lista con reclamo por idempotencia</t>
  </si>
  <si>
    <t>direct-list (config) + canal</t>
  </si>
  <si>
    <t>PAY-16</t>
  </si>
  <si>
    <t>Pago por lista + fallo re-solicitable</t>
  </si>
  <si>
    <t>direct-list ON; transporte re-solicitable</t>
  </si>
  <si>
    <t>1) Ejecutar (test)</t>
  </si>
  <si>
    <t>Queda invalidado; NO archiva un rechazo; re-solicitable. Cubierto por Mt101PayDirectListDurableTest</t>
  </si>
  <si>
    <t>PAY-17</t>
  </si>
  <si>
    <t>Pago por lista + bloqueo de reenvio</t>
  </si>
  <si>
    <t>aceptado/incierto en lista</t>
  </si>
  <si>
    <t>Se bloquea el re-reclamo (sin doble pago). Cubierto por Mt101PayDirectListDurableTest</t>
  </si>
  <si>
    <t>PAY-18</t>
  </si>
  <si>
    <t>Gate: sin lista en memoria en prod</t>
  </si>
  <si>
    <t>direct-list.enabled=false</t>
  </si>
  <si>
    <t>1) Intentar un pago por lista sin fragmento persistido</t>
  </si>
  <si>
    <t>Rechazado (prod exige fragmento persistido)</t>
  </si>
  <si>
    <t>gate direct-list (config prod)</t>
  </si>
  <si>
    <t>PAY-19</t>
  </si>
  <si>
    <t>Auditar lo saltado en un revert</t>
  </si>
  <si>
    <t>Refs saltadas en un revert</t>
  </si>
  <si>
    <t>Las saltadas quedan en conflicto + trama PAY_CONFLICT. Cubierto por los ITs de PAY</t>
  </si>
  <si>
    <t>PAY-20</t>
  </si>
  <si>
    <t>'Incierto' pegajoso</t>
  </si>
  <si>
    <t>Varios intentos, uno incierto</t>
  </si>
  <si>
    <t>El 'incierto' no se sobrescribe por un intento posterior. Cubierto por los ITs de transporte</t>
  </si>
  <si>
    <t>PAY-21</t>
  </si>
  <si>
    <t>Mapeo de respuesta del gateway (PAY)</t>
  </si>
  <si>
    <t>Gateway REST de pago</t>
  </si>
  <si>
    <t>1) El gateway responde accepted=true en el POST de PAY</t>
  </si>
  <si>
    <t>El fragmento pasa a SENT. Estados aceptados: ACCEPTED/CONFIRMED/SETTLED/ACSC/ACCP. Verificado con gateway mock (dispatch=3 sent=3)</t>
  </si>
  <si>
    <t>gateway accepted -&gt; SENT (mock, dispatch=3 sent=3) (34)</t>
  </si>
  <si>
    <t>CORR-01</t>
  </si>
  <si>
    <t>CORR</t>
  </si>
  <si>
    <t>Rechazo del banco -&gt; run hijo</t>
  </si>
  <si>
    <t>Un fragmento correctivo rechazado</t>
  </si>
  <si>
    <t>1) Con dev, provocar el rechazo  2) Solicitar la correccion</t>
  </si>
  <si>
    <t>Se crea un run hijo que reprocesa solo los rechazados</t>
  </si>
  <si>
    <t>rechazo del banco + canal</t>
  </si>
  <si>
    <t>CORR-02</t>
  </si>
  <si>
    <t>Corregir un fragmento en conflicto</t>
  </si>
  <si>
    <t>Login (P); un fragmento en conflicto</t>
  </si>
  <si>
    <t>1) Audit &gt; Quarantine, corregir  2) Reconstruir</t>
  </si>
  <si>
    <t>El fragmento se re-construye correctamente</t>
  </si>
  <si>
    <t>CORR-03</t>
  </si>
  <si>
    <t>Rechazo parcial -&gt; PARTIALLY_SENT</t>
  </si>
  <si>
    <t>Lote con algunos aceptados y otros rechazados</t>
  </si>
  <si>
    <t>1) Ejecutar el pago correctivo</t>
  </si>
  <si>
    <t>El run queda PARTIALLY_SENT; los aceptados no se tocan. Cubierto por Mt101CorrectiveLifecycleServiceTest</t>
  </si>
  <si>
    <t>CORR-04</t>
  </si>
  <si>
    <t>Re-solicitar los no enviados</t>
  </si>
  <si>
    <t>Run parcial con no-enviados</t>
  </si>
  <si>
    <t>1) Re-solicitar</t>
  </si>
  <si>
    <t>Re-envia solo los no enviados; sin doble pago. Cubierto por el IT correctivo (D2-R1)</t>
  </si>
  <si>
    <t>CORR-05</t>
  </si>
  <si>
    <t>Mixto sin envios</t>
  </si>
  <si>
    <t>Run con rechazados e invalidados, 0 enviados</t>
  </si>
  <si>
    <t>Queda PARTIALLY_SENT (no FAILED), lo que habilita recuperarlo. Cubierto por D2-R2</t>
  </si>
  <si>
    <t>CORR-06</t>
  </si>
  <si>
    <t>El run hijo solo reenvia rechazados</t>
  </si>
  <si>
    <t>Un run hijo</t>
  </si>
  <si>
    <t>1) Ejecutar</t>
  </si>
  <si>
    <t>Reenvia solo rechazados; nunca los ya enviados. Cubierto por el IT correctivo</t>
  </si>
  <si>
    <t>CORR-07</t>
  </si>
  <si>
    <t>Marca de despacho correctivo</t>
  </si>
  <si>
    <t>Marca el despacho en el ledger correctivo. Cubierto por el IT correctivo</t>
  </si>
  <si>
    <t>CORR-08</t>
  </si>
  <si>
    <t>Cuarentena por fragmento</t>
  </si>
  <si>
    <t>Correctivo con seleccion parcial</t>
  </si>
  <si>
    <t>Cuarentena sincronizada por fragmento. Cubierto por el IT correctivo</t>
  </si>
  <si>
    <t>CORR-09</t>
  </si>
  <si>
    <t>Correctivo sin doble pago (con incierto)</t>
  </si>
  <si>
    <t>Run con enviados/inciertos/no-enviados</t>
  </si>
  <si>
    <t>Solo re-prepara los no enviados; inciertos y enviados no se re-envian. Cubierto por D2-R1</t>
  </si>
  <si>
    <t>CORR-10</t>
  </si>
  <si>
    <t>Reemplazo de una solicitud hija previa</t>
  </si>
  <si>
    <t>Solicitud hija previa</t>
  </si>
  <si>
    <t>1) Nueva solicitud</t>
  </si>
  <si>
    <t>La previa se reemplaza (no se duplica). Cubierto por el IT correctivo</t>
  </si>
  <si>
    <t>STAT-01</t>
  </si>
  <si>
    <t>STAT</t>
  </si>
  <si>
    <t>Confirmacion positiva del banco</t>
  </si>
  <si>
    <t>Un pago enviado</t>
  </si>
  <si>
    <t>1) Que el banco responda ACK  2) Correr STATUS</t>
  </si>
  <si>
    <t>La confirmacion queda registrada</t>
  </si>
  <si>
    <t>ACK del banco simulado</t>
  </si>
  <si>
    <t>STAT-02</t>
  </si>
  <si>
    <t>Rechazo del banco (NACK)</t>
  </si>
  <si>
    <t>1) Que el banco responda NACK</t>
  </si>
  <si>
    <t>Se maneja como conflicto/FALLA segun el caso; el motivo queda auditado</t>
  </si>
  <si>
    <t>NACK del banco</t>
  </si>
  <si>
    <t>STAT-03</t>
  </si>
  <si>
    <t>Confirmacion tardia</t>
  </si>
  <si>
    <t>Pago enviado; ACK llega tarde</t>
  </si>
  <si>
    <t>1) Recibir el ACK con retraso</t>
  </si>
  <si>
    <t>Se concilia contra el :20:+ejecucion sin reenviar</t>
  </si>
  <si>
    <t>ACK tardio del banco</t>
  </si>
  <si>
    <t>STAT-04</t>
  </si>
  <si>
    <t>Datos de la confirmacion</t>
  </si>
  <si>
    <t>Login (P); un conflicto con confirmaciones</t>
  </si>
  <si>
    <t>1) Audit &gt; PAY Conflicts  2) Abrir la evidencia inline del conflicto</t>
  </si>
  <si>
    <t>Se ve el tipo de confirmacion, la referencia del gateway y el estado confirmado</t>
  </si>
  <si>
    <t>UI evidencia (login)</t>
  </si>
  <si>
    <t>STAT-05</t>
  </si>
  <si>
    <t>Confirmacion de otra corrida con el mismo :20:</t>
  </si>
  <si>
    <t>2 corridas con la misma referencia</t>
  </si>
  <si>
    <t>1) Recibir una confirmacion</t>
  </si>
  <si>
    <t>Se acota por ejecucion; no mezcla corridas. Cubierto por el console IT</t>
  </si>
  <si>
    <t>STAT-06</t>
  </si>
  <si>
    <t>Cuadre (reconcile)</t>
  </si>
  <si>
    <t>Fin de ventana</t>
  </si>
  <si>
    <t>1) Ejecutar la conciliacion</t>
  </si>
  <si>
    <t>Total enviado == confirmado; diferencias -&gt; incierto/conflicto</t>
  </si>
  <si>
    <t>reconcile: depende de STATUS</t>
  </si>
  <si>
    <t>STAT-07</t>
  </si>
  <si>
    <t>STATUS re-lee la respuesta del banco</t>
  </si>
  <si>
    <t>Respuesta en el buzon del banco</t>
  </si>
  <si>
    <t>1) Ejecutar STATUS</t>
  </si>
  <si>
    <t>Re-lee la respuesta (FIN) del banco</t>
  </si>
  <si>
    <t>relee respuesta del banco (canal)</t>
  </si>
  <si>
    <t>STAT-08</t>
  </si>
  <si>
    <t>Rechazo sobre un enviado -&gt; conflicto</t>
  </si>
  <si>
    <t>Un enviado; STATUS trae rechazado</t>
  </si>
  <si>
    <t>Se crea un PAY_CONFLICT (no sobrescribe el estado). Cubierto por los ITs</t>
  </si>
  <si>
    <t>STAT-09</t>
  </si>
  <si>
    <t>Mapeo de status del banco (STATUS)</t>
  </si>
  <si>
    <t>STATUS query al gateway; un fragmento SENT</t>
  </si>
  <si>
    <t>1) STATUS devuelve status=REJECTED (o FAILED/DECLINED/RJCT) sobre el SENT</t>
  </si>
  <si>
    <t>Se interpreta como rechazo terminal -&gt; contradiccion SENT-vs-REJECTED. Aceptados: ACCEPTED/CONFIRMED/SETTLED/ACSC/ACCP. Verificado con gateway mock</t>
  </si>
  <si>
    <t>STATUS REJECTED -&gt; rechazo terminal (mock) (34)</t>
  </si>
  <si>
    <t>F5. Maker-checker / Consolas</t>
  </si>
  <si>
    <t>MC-01</t>
  </si>
  <si>
    <t>MC</t>
  </si>
  <si>
    <t>El conflicto aparece en la consola</t>
  </si>
  <si>
    <t>Login (P); un PAY_CONFLICT existente</t>
  </si>
  <si>
    <t>1) Audit &gt; PAY Conflicts</t>
  </si>
  <si>
    <t>El conflicto se lista, con su motivo y su evidencia</t>
  </si>
  <si>
    <t>conflicto visible en consola Conflictos de pago: S161/162/163 SENT + motivo (UI+34)</t>
  </si>
  <si>
    <t>MC-02</t>
  </si>
  <si>
    <t>Reconocer single-actor (modo OFF)</t>
  </si>
  <si>
    <t>maker-checker OFF; login como payments-operator (P); un conflicto</t>
  </si>
  <si>
    <t>1) PAY Conflicts &gt; en el conflicto: Resolver  2) Escribir motivo y ticket  3) Reconocer</t>
  </si>
  <si>
    <t>El conflicto desaparece del inbox; queda registrada la resolucion</t>
  </si>
  <si>
    <t>requiere UI (login del usuario; cert self-signed bloquea el navegador interno)</t>
  </si>
  <si>
    <t>MC-03</t>
  </si>
  <si>
    <t>Reconocer sin motivo</t>
  </si>
  <si>
    <t>maker-checker OFF; login (P)</t>
  </si>
  <si>
    <t>1) Resolver un conflicto dejando el motivo vacio  2) Reconocer</t>
  </si>
  <si>
    <t>No deja: pide el motivo (o da 400)</t>
  </si>
  <si>
    <t>MC-04</t>
  </si>
  <si>
    <t>Reconocer sin ticket</t>
  </si>
  <si>
    <t>1) Resolver dejando el ticket vacio  2) Reconocer</t>
  </si>
  <si>
    <t>No deja: pide el ticket (o da 400)</t>
  </si>
  <si>
    <t>MC-05</t>
  </si>
  <si>
    <t>Single-actor bloqueado con modo ON</t>
  </si>
  <si>
    <t>maker-checker ON; login (P)</t>
  </si>
  <si>
    <t>1) Intentar reconocer un conflicto en un solo paso</t>
  </si>
  <si>
    <t>No se permite: exige el flujo de dos pasos (400 'maker-checker enabled')</t>
  </si>
  <si>
    <t>MC-06</t>
  </si>
  <si>
    <t>Solicitar reconocimiento (maker)</t>
  </si>
  <si>
    <t>maker-checker ON; login como pay-maker (P); un conflicto</t>
  </si>
  <si>
    <t>1) PAY Conflicts &gt; Resolver  2) Motivo + ticket  3) Solicitar reconocimiento</t>
  </si>
  <si>
    <t>Queda una solicitud PENDIENTE; el conflicto SIGUE en el inbox (no se apago)</t>
  </si>
  <si>
    <t>maker solicita -&gt; PENDING; API 204 (36) + por la vista (37)</t>
  </si>
  <si>
    <t>MC-07</t>
  </si>
  <si>
    <t>Aprobar (checker distinto)</t>
  </si>
  <si>
    <t>Una solicitud PENDING; login como pay-checker (P), distinto del maker</t>
  </si>
  <si>
    <t>1) PAY Conflicts &gt; abrir ese conflicto  2) Aprobar</t>
  </si>
  <si>
    <t>El conflicto se resuelve y desaparece del inbox</t>
  </si>
  <si>
    <t>checker (actor distinto) aprueba -&gt; resuelto; API 200 acknowledged=1 (36) + UI (37)</t>
  </si>
  <si>
    <t>MC-08</t>
  </si>
  <si>
    <t>No puedo aprobar mi propia solicitud</t>
  </si>
  <si>
    <t>Login como el pay-maker que solicito</t>
  </si>
  <si>
    <t>1) Abrir el conflicto con tu solicitud  2) Ver Aprobar</t>
  </si>
  <si>
    <t>Aprobar esta deshabilitado (tooltip de segregacion); por API daria 400</t>
  </si>
  <si>
    <t>barrera de identidad (checker==maker -&gt; 400) no testeable: el maker no tiene rol checker y no ve el boton. Requiere usuario dual-rol</t>
  </si>
  <si>
    <t>MC-09</t>
  </si>
  <si>
    <t>Aprobar sin solicitud previa</t>
  </si>
  <si>
    <t>maker-checker ON; login como pay-checker (P); conflicto SIN solicitud</t>
  </si>
  <si>
    <t>1) Intentar Aprobar directo</t>
  </si>
  <si>
    <t>No procede (no hay solicitud pendiente que aprobar) -&gt; 400</t>
  </si>
  <si>
    <t>aprobar sin solicitud previa -&gt; 400 "no pending" (API 36)</t>
  </si>
  <si>
    <t>MC-10</t>
  </si>
  <si>
    <t>Solicitar sobre un no-conflicto</t>
  </si>
  <si>
    <t>Login como pay-maker (P)</t>
  </si>
  <si>
    <t>1) Intentar solicitar sobre algo que ya no es conflicto</t>
  </si>
  <si>
    <t>No procede (fail-loud: 'no open pay conflict')</t>
  </si>
  <si>
    <t>MC-11</t>
  </si>
  <si>
    <t>Solo el maker puede solicitar</t>
  </si>
  <si>
    <t>maker-checker ON; login como pay-checker u operator (P)</t>
  </si>
  <si>
    <t>1) Buscar 'Solicitar reconocimiento'</t>
  </si>
  <si>
    <t>No se ofrece / da 403 (falta el rol pay-conflict-maker)</t>
  </si>
  <si>
    <t>solo el maker solicita: checker-&gt;request 403 (API 36); maker ve "Solicitar" (UI 37)</t>
  </si>
  <si>
    <t>MC-12</t>
  </si>
  <si>
    <t>Solo el checker puede aprobar</t>
  </si>
  <si>
    <t>maker-checker ON; login como pay-maker u operator (P)</t>
  </si>
  <si>
    <t>1) Buscar 'Aprobar'</t>
  </si>
  <si>
    <t>No disponible / da 403 (falta el rol pay-conflict-checker)</t>
  </si>
  <si>
    <t>solo el checker aprueba: maker-&gt;approve 403 (API 36); checker ve "Aprobar" (UI 37)</t>
  </si>
  <si>
    <t>MC-13</t>
  </si>
  <si>
    <t>La consola muestra la solicitud PENDING</t>
  </si>
  <si>
    <t>Una solicitud PENDING; login (P)</t>
  </si>
  <si>
    <t>1) PAY Conflicts &gt; abrir ese conflicto</t>
  </si>
  <si>
    <t>Se ve el chip 'Pendiente aprob.' y el detalle: quien solicito (maker), ticket, motivo, fecha</t>
  </si>
  <si>
    <t>chip "Pendiente aprob." + detalle de quien solicito, por la vista (37)</t>
  </si>
  <si>
    <t>MC-14</t>
  </si>
  <si>
    <t>Boton Aprobar deshabilitado si soy el maker</t>
  </si>
  <si>
    <t>Solicitud tuya; login como ese maker</t>
  </si>
  <si>
    <t>1) Ver el boton Aprobar</t>
  </si>
  <si>
    <t>Aparece deshabilitado con el tooltip de segregacion</t>
  </si>
  <si>
    <t>boton Aprobar deshabilitado "porque soy el maker": igual que MC-08, requiere usuario dual-rol</t>
  </si>
  <si>
    <t>MC-15</t>
  </si>
  <si>
    <t>Segundo pedido reemplaza al anterior</t>
  </si>
  <si>
    <t>Un PENDING de un maker; login como OTRO maker (P)</t>
  </si>
  <si>
    <t>1) Solicitar de nuevo (otro maker, motivo/ticket)  2) Ver el estado</t>
  </si>
  <si>
    <t>El pedido anterior queda como reemplazado; queda un solo PENDIENTE (el nuevo). Se genera la trama de reemplazo (Audit &gt; Spool)</t>
  </si>
  <si>
    <t>MC-16</t>
  </si>
  <si>
    <t>Historial del reemplazo se conserva</t>
  </si>
  <si>
    <t>Tras un reemplazo</t>
  </si>
  <si>
    <t>1) Audit &gt; Spool: buscar la trama de reemplazo</t>
  </si>
  <si>
    <t>La solicitud reemplazada queda en el historial; la trama la registra</t>
  </si>
  <si>
    <t>MC-17</t>
  </si>
  <si>
    <t>Aprobar cuando ya se resolvio (fail-loud)</t>
  </si>
  <si>
    <t>Solicitud PENDING pero el flag ya se limpio</t>
  </si>
  <si>
    <t>1) Ejecutar (test de carrera)</t>
  </si>
  <si>
    <t>La aprobacion aborta con error (rollback); NO marca aprobado en falso. Cubierto por Mt101PayConflictMakerCheckerIT</t>
  </si>
  <si>
    <t>MC-18</t>
  </si>
  <si>
    <t>Dos checkers aprueban a la vez</t>
  </si>
  <si>
    <t>Un PENDING; 2 checkers concurrentes</t>
  </si>
  <si>
    <t>1) Ejecutar (test concurrente)</t>
  </si>
  <si>
    <t>Exactamente 1 aprueba; el otro falla explicito; el flag se limpia 1 sola vez. Cubierto por el IT concurrente</t>
  </si>
  <si>
    <t>MC-19</t>
  </si>
  <si>
    <t>Estado 'cargando modo'</t>
  </si>
  <si>
    <t>Login (P); abrir la consola recien cargada</t>
  </si>
  <si>
    <t>1) Abrir el panel de un conflicto muy rapido</t>
  </si>
  <si>
    <t>Mientras carga la politica, no ofrece acciones (evita el flujo equivocado)</t>
  </si>
  <si>
    <t>panel consciente del modo ("Maker-checker activo"), por la vista (37)</t>
  </si>
  <si>
    <t>MC-20</t>
  </si>
  <si>
    <t>Settings en error -&gt; se bloquea (fail-closed)</t>
  </si>
  <si>
    <t>1) Con dev, simular que /pay-conflicts/settings falla  2) Abrir el panel</t>
  </si>
  <si>
    <t>Se bloquean las acciones y aparece un aviso + boton Reintentar (no cae a modo OFF)</t>
  </si>
  <si>
    <t>simular fallo /settings (dev) + UI</t>
  </si>
  <si>
    <t>MC-21</t>
  </si>
  <si>
    <t>Maker-checker sobre un correctivo</t>
  </si>
  <si>
    <t>maker-checker ON; un conflicto CORRECTIVO; usuarios maker/checker (P)</t>
  </si>
  <si>
    <t>1) Solicitar (maker) y aprobar (checker) sobre el conflicto correctivo</t>
  </si>
  <si>
    <t>Funciona igual que el normal</t>
  </si>
  <si>
    <t>MC-22</t>
  </si>
  <si>
    <t>Tramas de auditoria completas</t>
  </si>
  <si>
    <t>Un flujo request-&gt;approve realizado</t>
  </si>
  <si>
    <t>1) Audit &gt; Spool: buscar las tramas del conflicto</t>
  </si>
  <si>
    <t>Se ven ACK_REQUESTED, (reemplazo si aplica) y RESOLVED, con actores/motivo/ticket</t>
  </si>
  <si>
    <t>tramas PAY_CONFLICT_ACK_REQUESTED + RESOLVED con ambos actores (API 36)</t>
  </si>
  <si>
    <t>MC-23</t>
  </si>
  <si>
    <t>El inbox trae los datos de la solicitud</t>
  </si>
  <si>
    <t>Un PENDING; login (P)</t>
  </si>
  <si>
    <t>1) PAY Conflicts &gt; la fila del conflicto</t>
  </si>
  <si>
    <t>La fila trae el estado de la solicitud, quien la hizo, ticket, motivo y fecha</t>
  </si>
  <si>
    <t>inbox trae maker/ticket/motivo de la solicitud, por la vista (37)</t>
  </si>
  <si>
    <t>MC-24</t>
  </si>
  <si>
    <t>Generar un PAY_CONFLICT para pruebas</t>
  </si>
  <si>
    <t>1) Con dev: money-path con gateway que da accepted en PAY y REJECTED en STATUS  2) (o) sembrar mt101_build_fragment con pay_conflict=true y refs reales (metodo de Mt101OpenPayConflictsConsoleIT)</t>
  </si>
  <si>
    <t>Aparece un conflicto en la consola Conflictos de pago (contradiccion SENT vs REJECTED); habilita probar el maker-checker</t>
  </si>
  <si>
    <t>conflicto generado: money-path+mock + seed build_fragment, visible en consola (34)</t>
  </si>
  <si>
    <t>UI-01</t>
  </si>
  <si>
    <t>UI</t>
  </si>
  <si>
    <t>Inbox transversal de conflictos</t>
  </si>
  <si>
    <t>Login (P); conflictos en varios sets</t>
  </si>
  <si>
    <t>Lista los conflictos abiertos de TODOS los sets/ejecuciones, mas recientes primero</t>
  </si>
  <si>
    <t>inbox transversal lista conflictos del set QA-CONFLICT-16 (UI)</t>
  </si>
  <si>
    <t>UI-02</t>
  </si>
  <si>
    <t>Paginacion</t>
  </si>
  <si>
    <t>Muchos conflictos (&gt;1 pagina); login (P)</t>
  </si>
  <si>
    <t>1) PAY Conflicts  2) Cargar mas / paginar</t>
  </si>
  <si>
    <t>Recorre todos sin repetir ni saltar</t>
  </si>
  <si>
    <t>UI-03</t>
  </si>
  <si>
    <t>Evidencia inline (confirmaciones)</t>
  </si>
  <si>
    <t>Un conflicto con confirmaciones; login (P)</t>
  </si>
  <si>
    <t>1) En el conflicto: boton Evidencia</t>
  </si>
  <si>
    <t>Muestra la referencia del gateway y el ultimo estado del banco</t>
  </si>
  <si>
    <t>UI-04</t>
  </si>
  <si>
    <t>Evidencia sin ejecucion asociada</t>
  </si>
  <si>
    <t>Un conflicto sin processExecutionId; login (P)</t>
  </si>
  <si>
    <t>1) Abrir la evidencia</t>
  </si>
  <si>
    <t>Avisa que no puede acotar la evidencia (en vez de mostrar de otra corrida)</t>
  </si>
  <si>
    <t>UI-05</t>
  </si>
  <si>
    <t>Ir a Quarantine desde el conflicto</t>
  </si>
  <si>
    <t>Login (P); un conflicto</t>
  </si>
  <si>
    <t>1) En el conflicto: link a reconciliar/quarantine</t>
  </si>
  <si>
    <t>Abre la vista Quarantine de ese set</t>
  </si>
  <si>
    <t>consola Cuarentena MT101 abre por UI (sesion Chrome)</t>
  </si>
  <si>
    <t>UI-06</t>
  </si>
  <si>
    <t>Ir al lineage desde el conflicto</t>
  </si>
  <si>
    <t>1) En el conflicto: Ver lineage</t>
  </si>
  <si>
    <t>Abre el lineage de ese :20:</t>
  </si>
  <si>
    <t>UI-07</t>
  </si>
  <si>
    <t>Linea de tiempo de una fila</t>
  </si>
  <si>
    <t>Login (P); una fila conocida</t>
  </si>
  <si>
    <t>1) Abrir el row-timeline de la fila</t>
  </si>
  <si>
    <t>Muestra la linea de tiempo (staging/fragmento/cuarentena)</t>
  </si>
  <si>
    <t>UI-08</t>
  </si>
  <si>
    <t>Exportar evidencia</t>
  </si>
  <si>
    <t>Login (P); la lista con conflictos</t>
  </si>
  <si>
    <t>1) PAY Conflicts &gt; Exportar</t>
  </si>
  <si>
    <t>Descarga un JSON con los conflictos visibles</t>
  </si>
  <si>
    <t>UI-09</t>
  </si>
  <si>
    <t>Chip 'Pendiente' en la fila</t>
  </si>
  <si>
    <t>1) PAY Conflicts  2) Ver la fila del conflicto con solicitud</t>
  </si>
  <si>
    <t>Muestra un chip 'Pendiente aprob.'; el tooltip trae maker/ticket/motivo</t>
  </si>
  <si>
    <t>UI-10</t>
  </si>
  <si>
    <t>Idioma es/en</t>
  </si>
  <si>
    <t>Login (P)</t>
  </si>
  <si>
    <t>1) Cambiar el idioma de la app</t>
  </si>
  <si>
    <t>Los textos cambian correctamente entre espanol e ingles</t>
  </si>
  <si>
    <t>idioma ES&lt;-&gt;EN cambia todo el chrome (UI)</t>
  </si>
  <si>
    <t>UI-11</t>
  </si>
  <si>
    <t>Conflicto correctivo en la consola</t>
  </si>
  <si>
    <t>Un conflicto correctivo; login (P)</t>
  </si>
  <si>
    <t>1) PAY Conflicts &gt; la fila</t>
  </si>
  <si>
    <t>Muestra origen CORRECTIVE, el set original y el contexto del rebuild</t>
  </si>
  <si>
    <t>UI-12</t>
  </si>
  <si>
    <t>Sin conflictos</t>
  </si>
  <si>
    <t>Estado limpio; login (P)</t>
  </si>
  <si>
    <t>Muestra el estado vacio (no hay conflictos abiertos)</t>
  </si>
  <si>
    <t>estado vacio 'Sin conflictos de pago abiertos' (UI)</t>
  </si>
  <si>
    <t>F6. Plataforma / Auditoria</t>
  </si>
  <si>
    <t>PLG-01</t>
  </si>
  <si>
    <t>PLG</t>
  </si>
  <si>
    <t>Instalar plugin Java</t>
  </si>
  <si>
    <t>Stack arriba; imagen del plugin</t>
  </si>
  <si>
    <t>1) Instalar demo-transform-java (seccion Plugins)</t>
  </si>
  <si>
    <t>Queda registrado y alcanzable (gRPC 50061)</t>
  </si>
  <si>
    <t>instalar plugin (UI)</t>
  </si>
  <si>
    <t>PLG-02</t>
  </si>
  <si>
    <t>Instalar plugin Node</t>
  </si>
  <si>
    <t>1) Instalar demo-transform-node</t>
  </si>
  <si>
    <t>Registrado (50062)</t>
  </si>
  <si>
    <t>PLG-03</t>
  </si>
  <si>
    <t>Instalar plugin Python</t>
  </si>
  <si>
    <t>1) Instalar demo-transform-py</t>
  </si>
  <si>
    <t>Registrado (50063)</t>
  </si>
  <si>
    <t>PLG-04</t>
  </si>
  <si>
    <t>Invocar un transform</t>
  </si>
  <si>
    <t>Plugin instalado</t>
  </si>
  <si>
    <t>1) Ejecutar una tarea que use el plugin</t>
  </si>
  <si>
    <t>El plugin transforma y responde</t>
  </si>
  <si>
    <t>invocar transform (via proceso/UI)</t>
  </si>
  <si>
    <t>PLG-05</t>
  </si>
  <si>
    <t>Widget del plugin</t>
  </si>
  <si>
    <t>Stack arriba; login (P)</t>
  </si>
  <si>
    <t>1) Abrir /pluginwidget/ o la seccion del widget</t>
  </si>
  <si>
    <t>El widget del plugin se muestra</t>
  </si>
  <si>
    <t>/pluginwidget/ 200 (03)</t>
  </si>
  <si>
    <t>PLG-06</t>
  </si>
  <si>
    <t>Trust-policy: local aceptado</t>
  </si>
  <si>
    <t>Plugin en 127.0.0.1</t>
  </si>
  <si>
    <t>1) Invocar el plugin local</t>
  </si>
  <si>
    <t>Aceptado (localhost, red compartida)</t>
  </si>
  <si>
    <t>trust-policy local (dev)</t>
  </si>
  <si>
    <t>PLG-07</t>
  </si>
  <si>
    <t>Trust-policy: no-local rechazado</t>
  </si>
  <si>
    <t>Plugin en endpoint no local por http plano</t>
  </si>
  <si>
    <t>1) Invocar</t>
  </si>
  <si>
    <t>Rechazado por la politica de confianza</t>
  </si>
  <si>
    <t>trust-policy no-local (dev)</t>
  </si>
  <si>
    <t>PLG-08</t>
  </si>
  <si>
    <t>Staging de plugin en MinIO</t>
  </si>
  <si>
    <t>1) Subir el artefacto del plugin</t>
  </si>
  <si>
    <t>Queda en el bucket de staging</t>
  </si>
  <si>
    <t>staging plugin en MinIO (UI/dev)</t>
  </si>
  <si>
    <t>AUD-01</t>
  </si>
  <si>
    <t>AUD</t>
  </si>
  <si>
    <t>audit-consumer consume de Kafka</t>
  </si>
  <si>
    <t>audit-consumer arriba</t>
  </si>
  <si>
    <t>1) Generar eventos de auditoria  2) Verificar el store frio</t>
  </si>
  <si>
    <t>Los eventos se consumen y persisten</t>
  </si>
  <si>
    <t>audit_event=74 en store frio (audit-consumer) (30)</t>
  </si>
  <si>
    <t>AUD-02</t>
  </si>
  <si>
    <t>Tramas append-only en el spool</t>
  </si>
  <si>
    <t>Login (P); acciones ejecutadas</t>
  </si>
  <si>
    <t>1) Audit &gt; Spool</t>
  </si>
  <si>
    <t>Las tramas estan (append-only), no se editan/borran</t>
  </si>
  <si>
    <t>consola Spool: cola sana + cleanup gobernado, por la vista (38)</t>
  </si>
  <si>
    <t>AUD-03</t>
  </si>
  <si>
    <t>Exportar evidencia para auditor</t>
  </si>
  <si>
    <t>1) Exportar la evidencia disponible (PAY Conflicts / Spool)</t>
  </si>
  <si>
    <t>Se obtiene la trazabilidad (actor/motivo/ticket/terminal)</t>
  </si>
  <si>
    <t>UI export evidencia (login)</t>
  </si>
  <si>
    <t>AUD-04</t>
  </si>
  <si>
    <t>Fallo de auditoria no bloquea negocio</t>
  </si>
  <si>
    <t>1) Con dev, provocar un fallo en el relay de auditoria durante un proceso</t>
  </si>
  <si>
    <t>El proceso (money-path) continua; el error se maneja aparte</t>
  </si>
  <si>
    <t>inyeccion de fallo de auditoria (dev)</t>
  </si>
  <si>
    <t>AUD-05</t>
  </si>
  <si>
    <t>Trazabilidad de una decision</t>
  </si>
  <si>
    <t>Un reconocimiento maker-checker; login (P)</t>
  </si>
  <si>
    <t>1) Audit &gt; Spool: buscar la trama del conflicto</t>
  </si>
  <si>
    <t>Se ve quien solicito, quien aprobo, motivo y ticket</t>
  </si>
  <si>
    <t>UI Spool trazabilidad (login)</t>
  </si>
  <si>
    <t>AUD-06</t>
  </si>
  <si>
    <t>Store frio segun config</t>
  </si>
  <si>
    <t>1) Verificar el destino configurado</t>
  </si>
  <si>
    <t>Persiste en el store configurado (Postgres/ClickHouse)</t>
  </si>
  <si>
    <t>store frio config (ClickHouse diferido)</t>
  </si>
  <si>
    <t>F7. No funcionales</t>
  </si>
  <si>
    <t>NF-01</t>
  </si>
  <si>
    <t>NF</t>
  </si>
  <si>
    <t>Escala 1.000.000 de registros</t>
  </si>
  <si>
    <t>Harness e2e; heap acotado</t>
  </si>
  <si>
    <t>1) Correr el proceso con 1M filas (comando de evidencia)</t>
  </si>
  <si>
    <t>1M -&gt; SENT; sin OOM; sin deadlock; ~14 min. Cubierto por Mt101MillionFileProcessE2EIT</t>
  </si>
  <si>
    <t>NF-02</t>
  </si>
  <si>
    <t>Harness a 100k</t>
  </si>
  <si>
    <t>1) Correr a 100k</t>
  </si>
  <si>
    <t>OK; ~2.5 min; sin OOM/deadlock</t>
  </si>
  <si>
    <t>NF-03</t>
  </si>
  <si>
    <t>Fencing de dos nodos</t>
  </si>
  <si>
    <t>1) Correr AsyncInboxClaimIT</t>
  </si>
  <si>
    <t>11/11: contencion real (8 hilos), lease/heartbeat/recovery/fencing</t>
  </si>
  <si>
    <t>NF-04</t>
  </si>
  <si>
    <t>mTLS con el banco (UAT)</t>
  </si>
  <si>
    <t>Cert de CA aceptada por el banco</t>
  </si>
  <si>
    <t>1) Conectar por SFTP/REST con mTLS</t>
  </si>
  <si>
    <t>Handshake OK; el banco acepta el cert</t>
  </si>
  <si>
    <t>NF-05</t>
  </si>
  <si>
    <t>Sin secretos/montos en URL/logs</t>
  </si>
  <si>
    <t>1) Revisar access-logs y URLs</t>
  </si>
  <si>
    <t>reason/monto/credencial no viajan en URL ni quedan en logs</t>
  </si>
  <si>
    <t>0 passwords en claro en logs del app (30)</t>
  </si>
  <si>
    <t>NF-06</t>
  </si>
  <si>
    <t>Controles ON en prod</t>
  </si>
  <si>
    <t>Perfil prod (#10)</t>
  </si>
  <si>
    <t>1) Verificar los flags en prod</t>
  </si>
  <si>
    <t>maker-checker=true, direct-list=false, insert-batch=200000</t>
  </si>
  <si>
    <t>flags de control en config prod (30)</t>
  </si>
  <si>
    <t>NF-07</t>
  </si>
  <si>
    <t>Backoff/reintentos</t>
  </si>
  <si>
    <t>Fallo transitorio del canal</t>
  </si>
  <si>
    <t>1) Inducir un fallo transitorio</t>
  </si>
  <si>
    <t>Reintenta con backoff; sin duplicar; sin colgarse</t>
  </si>
  <si>
    <t>backoff del canal (banco)</t>
  </si>
  <si>
    <t>NF-08</t>
  </si>
  <si>
    <t>Cuadre de fin de dia</t>
  </si>
  <si>
    <t>Jornada de pagos</t>
  </si>
  <si>
    <t>1) Conciliar totales enviado vs confirmado</t>
  </si>
  <si>
    <t>Coinciden; toda diferencia visible (incierto/conflicto)</t>
  </si>
  <si>
    <t>cuadre fin de dia (canal)</t>
  </si>
  <si>
    <t>NF-09</t>
  </si>
  <si>
    <t>Barrido de recuperacion</t>
  </si>
  <si>
    <t>Claims estancados</t>
  </si>
  <si>
    <t>1) Ejecutar el recovery sweep</t>
  </si>
  <si>
    <t>Marca los estancados como muertos (DLQ); limpia el token</t>
  </si>
  <si>
    <t>barrido de recuperacion (dev)</t>
  </si>
  <si>
    <t>NF-10</t>
  </si>
  <si>
    <t>Readiness con dependencias</t>
  </si>
  <si>
    <t>1) GET /q/health/ready</t>
  </si>
  <si>
    <t>UP con DB + mensajeria</t>
  </si>
  <si>
    <t>health/ready UP con DB+messaging (02)</t>
  </si>
  <si>
    <t>NF-11</t>
  </si>
  <si>
    <t>Alertas operativas</t>
  </si>
  <si>
    <t>Monitoreo configurado</t>
  </si>
  <si>
    <t>1) Provocar un conflicto/incierto/falla</t>
  </si>
  <si>
    <t>La alerta llega al equipo operativo</t>
  </si>
  <si>
    <t>alertas/monitoreo</t>
  </si>
  <si>
    <t>NF-12</t>
  </si>
  <si>
    <t>Arranque nativo</t>
  </si>
  <si>
    <t>1) Levantar la app nativa</t>
  </si>
  <si>
    <t>Arranca ~1.5s; RAM baja (~70 MB); UI embebida</t>
  </si>
  <si>
    <t>imagen nativa arranca; app 200 (13)</t>
  </si>
  <si>
    <t>F8. Aceptacion bancaria (homologacion)</t>
  </si>
  <si>
    <t>BANK-01</t>
  </si>
  <si>
    <t>BANK</t>
  </si>
  <si>
    <t>CERO DOBLE PAGO verificado EN EL BANCO</t>
  </si>
  <si>
    <t>Stack arriba; acceso al buzon del banco (sftp-bank) o su reporte</t>
  </si>
  <si>
    <t>1) Con apoyo dev, inducir fallo pre-dispatch, timeout post-dispatch, reinicio del app y caida de nodo sobre pagos de prueba  2) Reintentar/conciliar  3) Contar en el banco cuantos mensajes hay por cada referencia :20:</t>
  </si>
  <si>
    <t>El banco tiene EXACTAMENTE 1 pago por cada :20:; cero duplicados (control maestro). Cubierto en logica por PAY-05..08 y los ITs de fencing</t>
  </si>
  <si>
    <t>cero doble pago EN EL BANCO (UAT real)</t>
  </si>
  <si>
    <t>BANK-02</t>
  </si>
  <si>
    <t>Ningun pago queda colgado (orphan)</t>
  </si>
  <si>
    <t>Login como admin (P); una corrida de pagos terminada</t>
  </si>
  <si>
    <t>1) Ir a Audit &gt; Fragments (mt101-fragments) o Executions  2) Filtrar los pagos de la corrida  3) Revisar el estado de cada uno</t>
  </si>
  <si>
    <t>Todos en un estado FINAL (SENT / FAILED / o UNCERTAIN ya resuelto); ninguno atascado en 'en despacho'</t>
  </si>
  <si>
    <t>UI Fragments/Executions (login)</t>
  </si>
  <si>
    <t>BANK-03</t>
  </si>
  <si>
    <t>Toda contradiccion -&gt; PAY_CONFLICT (nunca silenciosa)</t>
  </si>
  <si>
    <t>Un pago SENT y una respuesta del banco REJECTED (o test)</t>
  </si>
  <si>
    <t>1) Que STATUS traiga REJECTED sobre un SENT  2) Ir a Audit &gt; PAY Conflicts</t>
  </si>
  <si>
    <t>Aparece un PAY_CONFLICT nuevo; el estado real NO cambio en silencio. Cubierto por Mt101CorrectiveLifecycleServiceTest / console IT</t>
  </si>
  <si>
    <t>BANK-04</t>
  </si>
  <si>
    <t>Segregacion de funciones inviolable</t>
  </si>
  <si>
    <t>maker-checker ON; login como pay-maker (P)</t>
  </si>
  <si>
    <t>1) Como pay-maker, en un conflicto: Resolver &gt; Solicitar reconocimiento  2) Intentar Aprobar tu propia solicitud</t>
  </si>
  <si>
    <t>El boton Aprobar esta deshabilitado para ti (eres el maker); si se fuerza por API da 400/403. Necesitas un pay-checker distinto</t>
  </si>
  <si>
    <t>BANK-05</t>
  </si>
  <si>
    <t>Auditoria inmutable / no-repudio</t>
  </si>
  <si>
    <t>Login como admin/auditor (P); acciones ya ejecutadas</t>
  </si>
  <si>
    <t>1) Ir a Audit &gt; Spool  2) Buscar las tramas PAY_CONFLICT_ACK_REQUESTED/RESOLVED  3) Ver su contenido</t>
  </si>
  <si>
    <t>Cada trama muestra quien/que/cuando/motivo/ticket; son de solo lectura (no se editan/borran)</t>
  </si>
  <si>
    <t>UI Spool (login)</t>
  </si>
  <si>
    <t>BANK-06</t>
  </si>
  <si>
    <t>Trazabilidad E2E de un pago</t>
  </si>
  <si>
    <t>Login (P); un :20: conocido</t>
  </si>
  <si>
    <t>1) Audit &gt; Record Lineage: buscar por paymentReference = ese :20:  2) Abrir su row-timeline</t>
  </si>
  <si>
    <t>Se ve el recorrido completo: archivo origen -&gt; staging -&gt; fragmento -&gt; PAY -&gt; confirmacion del banco</t>
  </si>
  <si>
    <t>UI Record Lineage (login)</t>
  </si>
  <si>
    <t>BANK-07</t>
  </si>
  <si>
    <t>Cuadre fin de dia sin descuadre silencioso</t>
  </si>
  <si>
    <t>Fin de jornada; totales del banco</t>
  </si>
  <si>
    <t>1) Con dev/ops, obtener total enviado (plataforma) y total confirmado (banco)  2) Comparar</t>
  </si>
  <si>
    <t>enviado == confirmado; toda diferencia queda VISIBLE como UNCERTAIN o PAY_CONFLICT (cero perdida silenciosa)</t>
  </si>
  <si>
    <t>cuadre con el banco (UAT)</t>
  </si>
  <si>
    <t>BANK-08</t>
  </si>
  <si>
    <t>Idempotencia extremo a extremo</t>
  </si>
  <si>
    <t>1) Reingresar el MISMO archivo (mismo contenido)  2) Correr el proceso</t>
  </si>
  <si>
    <t>0 pagos nuevos al banco (dedupe por hash/idempotencia)</t>
  </si>
  <si>
    <t>BANK-09</t>
  </si>
  <si>
    <t>NACK nunca se re-envia a ciegas</t>
  </si>
  <si>
    <t>Un pago rechazado por el banco (NACK)</t>
  </si>
  <si>
    <t>1) Provocar/recibir el NACK  2) Intentar reprocesar el pago tal cual</t>
  </si>
  <si>
    <t>Queda FAILED (terminal); solo se re-envia por el flujo correctivo gobernado (run hijo), nunca automatico</t>
  </si>
  <si>
    <t>NACK del banco (canal)</t>
  </si>
  <si>
    <t>BANK-10</t>
  </si>
  <si>
    <t>Validacion de campos MT101 obligatorios</t>
  </si>
  <si>
    <t>Archivo de prueba con filas invalidas</t>
  </si>
  <si>
    <t>1) Con dev, ingresar filas con :20:/:59:/monto/moneda faltantes o invalidos  2) Correr build+validate</t>
  </si>
  <si>
    <t>Las filas invalidas van a Quarantine; NUNCA sale un mensaje mal formado al banco</t>
  </si>
  <si>
    <t>filas invalidas -&gt; VALIDATE FAILED, no llega al banco (28)</t>
  </si>
  <si>
    <t>BANK-11</t>
  </si>
  <si>
    <t>Precision de monto/moneda</t>
  </si>
  <si>
    <t>Filas con montos decimales</t>
  </si>
  <si>
    <t>1) Comparar el monto/moneda del archivo origen vs el del mensaje que llega al banco</t>
  </si>
  <si>
    <t>Coinciden exactamente; sin redondeos ni perdida de precision</t>
  </si>
  <si>
    <t>amount_value exacto (101.50-&gt;101.500), moneda PEN (29b)</t>
  </si>
  <si>
    <t>BANK-12</t>
  </si>
  <si>
    <t>PDE (Possible Duplicate Emission)</t>
  </si>
  <si>
    <t>Escenario de reintento de envio</t>
  </si>
  <si>
    <t>1) Con dev, forzar un reintento del mismo mensaje</t>
  </si>
  <si>
    <t>El banco NO reporta un duplicado real (idempotencia + fencing evitan el doble mensaje)</t>
  </si>
  <si>
    <t>PDE reintento (canal)</t>
  </si>
  <si>
    <t>BANK-13</t>
  </si>
  <si>
    <t>Fecha valor / cut-off</t>
  </si>
  <si>
    <t>Pagos con fecha valor</t>
  </si>
  <si>
    <t>1) Enviar un pago con value date valida y otro fuera del horario de corte</t>
  </si>
  <si>
    <t>Respeta la fecha valor; fuera de cut-off aplica el manejo definido. VERIFICAR / marcar N/A si esta version no maneja cut-off</t>
  </si>
  <si>
    <t>cut-off no manejado en esta version (doc)</t>
  </si>
  <si>
    <t>BANK-14</t>
  </si>
  <si>
    <t>mTLS + host key reales con el banco (prod)</t>
  </si>
  <si>
    <t>Entorno prod real con el banco</t>
  </si>
  <si>
    <t>1) Configurar cert cliente (CA aceptada) + known_hosts real  2) Conectar SFTP/REST</t>
  </si>
  <si>
    <t>mTLS efectivo; host key real; NO cert self-signed en prod</t>
  </si>
  <si>
    <t>mTLS + host key real (prod)</t>
  </si>
  <si>
    <t>BANK-15</t>
  </si>
  <si>
    <t>Secretos fuera de claro</t>
  </si>
  <si>
    <t>Acceso al repo/servidor</t>
  </si>
  <si>
    <t>1) Revisar repo, logs de acceso, URLs y variables de entorno</t>
  </si>
  <si>
    <t>Credenciales/cert del banco vienen del vault; nunca aparecen en claro (repo/logs/URL)</t>
  </si>
  <si>
    <t>PAY usa secret:vault; 0 secretos en logs (30)</t>
  </si>
  <si>
    <t>BANK-16</t>
  </si>
  <si>
    <t>Controles bancarios ACTIVOS en prod</t>
  </si>
  <si>
    <t>Ambiente prod (perfil prod)</t>
  </si>
  <si>
    <t>1) Verificar la config efectiva del ambiente prod</t>
  </si>
  <si>
    <t>maker-checker.enabled=true; direct-list.enabled=false; insert-batch-max-bytes=200000</t>
  </si>
  <si>
    <t>config prod: maker-checker=true, direct-list=false, batch=200000 (30)</t>
  </si>
  <si>
    <t>BANK-17</t>
  </si>
  <si>
    <t>Cero doble-ejecucion bajo caida de nodo</t>
  </si>
  <si>
    <t>2 replicas; capacidad de matar una</t>
  </si>
  <si>
    <t>1) Matar un nodo a mitad de un PAY  2) Observar recovery</t>
  </si>
  <si>
    <t>El efecto de pago se ejecuta 1 sola vez (fencing por token); el nodo caido no pisa. Cubierto por AsyncInboxClaimIT (8 hilos)</t>
  </si>
  <si>
    <t>BANK-18</t>
  </si>
  <si>
    <t>Resolucion segura de UNCERTAIN</t>
  </si>
  <si>
    <t>Un pago en estado UNCERTAIN</t>
  </si>
  <si>
    <t>1) Que llegue la confirmacion del banco  2) Correr STATUS/RECONCILE</t>
  </si>
  <si>
    <t>UNCERTAIN pasa a SENT (si llego) o INVALIDATED (si no), SIN generar un segundo pago</t>
  </si>
  <si>
    <t>resolucion UNCERTAIN (canal/STATUS)</t>
  </si>
  <si>
    <t>BANK-19</t>
  </si>
  <si>
    <t>Retencion de evidencia</t>
  </si>
  <si>
    <t>Login (P); confirmaciones y tramas existentes</t>
  </si>
  <si>
    <t>1) Audit &gt; PAY Conflicts: abrir la evidencia inline  2) Audit &gt; Spool: ver las tramas</t>
  </si>
  <si>
    <t>Confirmaciones del banco + tramas de auditoria se conservan y se pueden consultar</t>
  </si>
  <si>
    <t>UI PAY Conflicts (login)</t>
  </si>
  <si>
    <t>BANK-20</t>
  </si>
  <si>
    <t>Minimo privilegio (RBAC)</t>
  </si>
  <si>
    <t>Usuarios de distintos roles (P)</t>
  </si>
  <si>
    <t>1) Login como auditor: intentar reconocer un conflicto  2) Login como payments-operator con maker-checker ON: intentar solicitar</t>
  </si>
  <si>
    <t>auditor NO puede mover dinero (solo ver); operator sin rol maker/checker no puede solicitar/aprobar</t>
  </si>
  <si>
    <t>UI RBAC (login)</t>
  </si>
  <si>
    <t>BANK-21</t>
  </si>
  <si>
    <t>Limites/umbrales de aprobacion</t>
  </si>
  <si>
    <t>1) Enviar un pago que supere un umbral (si el sistema tiene limites)</t>
  </si>
  <si>
    <t>Aplica el control de limite/umbral. VERIFICAR el mecanismo / marcar N/A si no existe en esta version</t>
  </si>
  <si>
    <t>limites/umbrales no en esta version (doc)</t>
  </si>
  <si>
    <t>BANK-22</t>
  </si>
  <si>
    <t>Cifrado en transito</t>
  </si>
  <si>
    <t>Login (P); navegador</t>
  </si>
  <si>
    <t>1) Verificar que la URL sea https (candado)  2) Con dev, confirmar mTLS en los canales al banco</t>
  </si>
  <si>
    <t>Todo el trafico publico va por HTTPS; los canales al banco por mTLS; nada de dinero en claro</t>
  </si>
  <si>
    <t>UI + mTLS (login)</t>
  </si>
  <si>
    <t>PREPARACION - leer antes de ejecutar</t>
  </si>
  <si>
    <t>1. Acceso</t>
  </si>
  <si>
    <t>URL</t>
  </si>
  <si>
    <t>Abrir en el navegador: https://&lt;host&gt;/appih  (local de pruebas: https://192.168.0.15:8443/appih)</t>
  </si>
  <si>
    <t>Sale un aviso de seguridad. En Firefox: Avanzado -&gt; Aceptar el riesgo y continuar. En Chrome: escribir thisisunsafe en la pagina. (Una vez por origen.)</t>
  </si>
  <si>
    <t>2. Usuarios de prueba</t>
  </si>
  <si>
    <t>usuario / contrasena -&gt; para que sirve</t>
  </si>
  <si>
    <t>admin</t>
  </si>
  <si>
    <t>admin123  -&gt; acceso completo (todo)</t>
  </si>
  <si>
    <t>operator</t>
  </si>
  <si>
    <t>operator123  -&gt; operador de procesos</t>
  </si>
  <si>
    <t>auditor</t>
  </si>
  <si>
    <t>auditor123  -&gt; SOLO LECTURA (no mueve dinero)</t>
  </si>
  <si>
    <t>payments-operator</t>
  </si>
  <si>
    <t>payments123  -&gt; opera pagos; reconoce en modo single-actor</t>
  </si>
  <si>
    <t>pay-maker</t>
  </si>
  <si>
    <t>maker123  -&gt; rol MAKER (solicita reconocer) [maker-checker]</t>
  </si>
  <si>
    <t>pay-checker</t>
  </si>
  <si>
    <t>checker123  -&gt; rol CHECKER (aprueba) [maker-checker]</t>
  </si>
  <si>
    <t>3. Navegacion</t>
  </si>
  <si>
    <t>La app usa el menu lateral. Seccion Audit:</t>
  </si>
  <si>
    <t>PAY Conflicts</t>
  </si>
  <si>
    <t>Audit &gt; PAY Conflicts  -&gt; inbox de conflictos de pago (el corazon del maker-checker)</t>
  </si>
  <si>
    <t>Quarantine</t>
  </si>
  <si>
    <t>Audit &gt; Quarantine  -&gt; filas invalidas para corregir</t>
  </si>
  <si>
    <t>Record Lineage</t>
  </si>
  <si>
    <t>Audit &gt; Record Lineage  -&gt; rastro E2E de un pago por referencia :20:</t>
  </si>
  <si>
    <t>Spool</t>
  </si>
  <si>
    <t>Audit &gt; Spool  -&gt; tramas de auditoria (append-only)</t>
  </si>
  <si>
    <t>Fragments</t>
  </si>
  <si>
    <t>Audit &gt; Fragments  -&gt; fragmentos MT101 y su estado</t>
  </si>
  <si>
    <t>3b. Config (CRUD)</t>
  </si>
  <si>
    <t>Menus de catalogo (modulos CSRC/CCON/CRDR/CPRO):</t>
  </si>
  <si>
    <t>Fuentes</t>
  </si>
  <si>
    <t>/appih/#/sources  -&gt; alta/edicion de fuentes (SFTP/FTP/S3/REST)</t>
  </si>
  <si>
    <t>Conexiones</t>
  </si>
  <si>
    <t>/appih/#/connections  -&gt; conexiones JDBC (PostgreSQL...)</t>
  </si>
  <si>
    <t>Lectores (Readers)</t>
  </si>
  <si>
    <t>/appih/#/readers  -&gt; lectores de formato (SWIFT MT/CSV/TXT/JSON/XML/Excel)</t>
  </si>
  <si>
    <t>Procesos</t>
  </si>
  <si>
    <t>/appih/#/processes  -&gt; procesos y su pipeline; Ejecuciones en /appih/#/executions</t>
  </si>
  <si>
    <t>Valores por campo</t>
  </si>
  <si>
    <t>Ver la hoja "Datos-Formularios": los valores exactos a poner en cada campo para probar el CRUD</t>
  </si>
  <si>
    <t>Baja logica</t>
  </si>
  <si>
    <t>En el CRUD de config NO hay borrado fisico: para dar de baja se usa Desactivar (se conserva para auditoria)</t>
  </si>
  <si>
    <t>3c. Verificar resultados</t>
  </si>
  <si>
    <t>SIEMPRE por las vistas de la UI (el QA no usa API):</t>
  </si>
  <si>
    <t>Hub de verificacion</t>
  </si>
  <si>
    <t>Menu Ejecuciones &gt; abrir la corrida &gt; pestana "Tareas" (Tareas ejecutadas). Cada tarea muestra Procesados / Escritos y su estado. Ahi se comprueba FILE_READ, BUILD, VALIDATE, ARCHIVE, PAY, STATUS, RECONCILE sin tocar API.</t>
  </si>
  <si>
    <t>Detalle en Auditoria</t>
  </si>
  <si>
    <t>Fragmentos MT101 (estado SENT/FAILED) ; Cuarentena MT101 (filas invalidas) ; Linaje (rastro por :20:) ; Spool (tramas) ; Conflictos de pago ; Dispatch PAY por lista.</t>
  </si>
  <si>
    <t>Ejecuciones hijas</t>
  </si>
  <si>
    <t>En el detalle de una corrida: seccion "Ejecuciones hijas" -&gt; ahi se ve el run correctivo (reproceso de rechazados).</t>
  </si>
  <si>
    <t>Menu ES / EN</t>
  </si>
  <si>
    <t>La app es bilingue. Equivalencias: Fuentes=Sources | Conexiones=Connections | Lectores=Readers | Procesos=Processes | Ejecuciones=Executions | Auditoria=Audit. Sub-Auditoria: Fragmentos MT101=MT101 fragments | Cuarentena MT101=MT101 quarantine | Linaje=Lineage | Conflictos de pago=PAY conflicts.</t>
  </si>
  <si>
    <t>4. Columna Ejecutor</t>
  </si>
  <si>
    <t>Quien puede hacer el caso:</t>
  </si>
  <si>
    <t>Un QA humano en la UI (con esta guia). Verde en la hoja Casos.</t>
  </si>
  <si>
    <t>Requiere apoyo de dev/ops: inducir fallos, comandos, backend. Amarillo.</t>
  </si>
  <si>
    <t>Ya cubierto por una prueba automatica (se nombra la prueba). Azul. QA no lo repite manual.</t>
  </si>
  <si>
    <t>5. Orden de ejecucion</t>
  </si>
  <si>
    <t>Los casos vienen ORDENADOS por secuencia de ejecucion:</t>
  </si>
  <si>
    <t>Columna Orden</t>
  </si>
  <si>
    <t>1..N = la secuencia sugerida de punta a punta. Si filtras/ordenas por otra columna, vuelve a ordenar por Orden para recuperar la secuencia.</t>
  </si>
  <si>
    <t>Columna Fase</t>
  </si>
  <si>
    <t>F0 Infra -&gt; F1 Acceso -&gt; F2 Configuracion -&gt; F3 Flujo E2E -&gt; F4 Profundizacion -&gt; F5 Maker-checker/Consolas -&gt; F6 Plataforma/Auditoria -&gt; F7 No funcionales -&gt; F8 Aceptacion bancaria.</t>
  </si>
  <si>
    <t>Regla</t>
  </si>
  <si>
    <t>No se puede correr F3 (E2E) sin F2 (configurar); ni F8 (aceptacion bancaria) sin haber pagado (F3/F4). La hoja Resumen tiene el conteo Por fase.</t>
  </si>
  <si>
    <t>6. Notas</t>
  </si>
  <si>
    <t>maker-checker</t>
  </si>
  <si>
    <t>Los casos MC-05..23 y AUTH-11..13 requieren el modo maker-checker ACTIVADO (dev pone mt101.pay.conflict.acknowledge.maker-checker.enabled=true + reinicia el app).</t>
  </si>
  <si>
    <t>En la hoja Casos, columna Estado: Pendiente / Pass / Fail / Blocked / N/A (menu desplegable). La hoja Resumen cuenta solo.</t>
  </si>
  <si>
    <t>Pantalla</t>
  </si>
  <si>
    <t>Campo</t>
  </si>
  <si>
    <t>Valor a poner</t>
  </si>
  <si>
    <t>Nota</t>
  </si>
  <si>
    <t>Fuentes (/sources)</t>
  </si>
  <si>
    <t>Comun</t>
  </si>
  <si>
    <t>Nombre</t>
  </si>
  <si>
    <t>(libre) ej: Fuente SFTP QA</t>
  </si>
  <si>
    <t>Campo de la seccion Perfil</t>
  </si>
  <si>
    <t>SFTP / FTP / Amazon S3 / REST / File system</t>
  </si>
  <si>
    <t>Selector; re-dibuja el formulario</t>
  </si>
  <si>
    <t>Activo</t>
  </si>
  <si>
    <t>ON</t>
  </si>
  <si>
    <t>Toggle de la cabecera</t>
  </si>
  <si>
    <t>SFTP</t>
  </si>
  <si>
    <t>Host</t>
  </si>
  <si>
    <t>sftp-source</t>
  </si>
  <si>
    <t>Port</t>
  </si>
  <si>
    <t>22</t>
  </si>
  <si>
    <t>Username</t>
  </si>
  <si>
    <t>ihsource</t>
  </si>
  <si>
    <t>Password</t>
  </si>
  <si>
    <t>Remote path</t>
  </si>
  <si>
    <t>/upload/mt101-10k.csv</t>
  </si>
  <si>
    <t>RUTA COMPLETA al archivo (verificado en int); el form SFTP no tiene fileNameTemplate</t>
  </si>
  <si>
    <t>Strict host key checking</t>
  </si>
  <si>
    <t>OFF</t>
  </si>
  <si>
    <t>Para pruebas int (sin known_hosts)</t>
  </si>
  <si>
    <t>Timeout (ms)</t>
  </si>
  <si>
    <t>10000</t>
  </si>
  <si>
    <t>Media type</t>
  </si>
  <si>
    <t>text/plain</t>
  </si>
  <si>
    <t>Amazon S3</t>
  </si>
  <si>
    <t>Region</t>
  </si>
  <si>
    <t>us-east-1</t>
  </si>
  <si>
    <t>Bucket</t>
  </si>
  <si>
    <t>ih-source-inbox</t>
  </si>
  <si>
    <t>Bucket creado por minio-init</t>
  </si>
  <si>
    <t>Endpoint</t>
  </si>
  <si>
    <t>http://minio:9000</t>
  </si>
  <si>
    <t>Auth mode</t>
  </si>
  <si>
    <t>access-key</t>
  </si>
  <si>
    <t>OBLIGATORIO: muestra los campos de llaves. Sin access-key el backend cae a la cadena AWS por defecto y falla con "Unable to load credentials"</t>
  </si>
  <si>
    <t>Access key ID</t>
  </si>
  <si>
    <t>minioadmin</t>
  </si>
  <si>
    <t>Secret access key</t>
  </si>
  <si>
    <t>Path-style access</t>
  </si>
  <si>
    <t>OBLIGATORIO para MinIO</t>
  </si>
  <si>
    <t>Selection mode</t>
  </si>
  <si>
    <t>all</t>
  </si>
  <si>
    <t>latestModified / single / all</t>
  </si>
  <si>
    <t>FTP</t>
  </si>
  <si>
    <t>ftp-source</t>
  </si>
  <si>
    <t>21</t>
  </si>
  <si>
    <t>ihftp</t>
  </si>
  <si>
    <t>/</t>
  </si>
  <si>
    <t>Passive mode</t>
  </si>
  <si>
    <t>REST</t>
  </si>
  <si>
    <t>http://echo</t>
  </si>
  <si>
    <t>Servicio echo del stack int</t>
  </si>
  <si>
    <t>Method</t>
  </si>
  <si>
    <t>GET</t>
  </si>
  <si>
    <t>Auth type</t>
  </si>
  <si>
    <t>No authentication</t>
  </si>
  <si>
    <t>None / Basic / Bearer</t>
  </si>
  <si>
    <t>File name</t>
  </si>
  <si>
    <t>echo-payload.json</t>
  </si>
  <si>
    <t>Timeout (s)</t>
  </si>
  <si>
    <t>10</t>
  </si>
  <si>
    <t>File system</t>
  </si>
  <si>
    <t>Path</t>
  </si>
  <si>
    <t>/data/inbox</t>
  </si>
  <si>
    <t>Requiere volumen montado (int no lo trae)</t>
  </si>
  <si>
    <t>Conexiones (/connections)</t>
  </si>
  <si>
    <t>(libre) ej: Conexion Postgres QA</t>
  </si>
  <si>
    <t>Motor (Tipo)</t>
  </si>
  <si>
    <t>PostgreSQL</t>
  </si>
  <si>
    <t>PostgreSQL/Oracle/SQL Server/MySQL/MongoDB</t>
  </si>
  <si>
    <t>JDBC</t>
  </si>
  <si>
    <t>JDBC URL</t>
  </si>
  <si>
    <t>jdbc:postgresql://postgres:5432/integration_hub</t>
  </si>
  <si>
    <t>postgres</t>
  </si>
  <si>
    <t>Min size</t>
  </si>
  <si>
    <t>1</t>
  </si>
  <si>
    <t>Max size</t>
  </si>
  <si>
    <t>Acquisition timeout (s)</t>
  </si>
  <si>
    <t>5</t>
  </si>
  <si>
    <t>Validation timeout (s)</t>
  </si>
  <si>
    <t>Reap timeout (min)</t>
  </si>
  <si>
    <t>JDBC properties JSON</t>
  </si>
  <si>
    <t>{}</t>
  </si>
  <si>
    <t>Dejar {} si no hay props extra</t>
  </si>
  <si>
    <t>Readers (/readers)</t>
  </si>
  <si>
    <t>(libre) ej: Reader SWIFT MT101 QA</t>
  </si>
  <si>
    <t>SWIFT MT/FIN / CSV / TXT / JSON / XML / XLS</t>
  </si>
  <si>
    <t>Selector</t>
  </si>
  <si>
    <t>SWIFT MT/FIN</t>
  </si>
  <si>
    <t>Encoding</t>
  </si>
  <si>
    <t>UTF-8</t>
  </si>
  <si>
    <t>SWIFT-X strict</t>
  </si>
  <si>
    <t>marcado</t>
  </si>
  <si>
    <t>Rechaza caracteres no-SWIFT</t>
  </si>
  <si>
    <t>CSV</t>
  </si>
  <si>
    <t>Delimiter</t>
  </si>
  <si>
    <t>,</t>
  </si>
  <si>
    <t>Data starts at row</t>
  </si>
  <si>
    <t>2</t>
  </si>
  <si>
    <t>Fila donde empiezan los datos</t>
  </si>
  <si>
    <t>Campos (por posicion)</t>
  </si>
  <si>
    <t>dni(1) nombre(2) cuenta(3) moneda(4) monto(5)=NUMBER bic(6) concepto(7) cargos(8)</t>
  </si>
  <si>
    <t>Es el reader del flujo MT101 (mt101-10k.csv). Type: TEXT/NUMBER/DATE</t>
  </si>
  <si>
    <t>TXT</t>
  </si>
  <si>
    <t>Modo</t>
  </si>
  <si>
    <t>Ancho fijo (fixed-length)</t>
  </si>
  <si>
    <t>OBLIGATORIO: por defecto el reader TXT es Delimitado; con ese modo los campos por Start/End salen null</t>
  </si>
  <si>
    <t>Campos (posiciones)</t>
  </si>
  <si>
    <t>dni 1-8, nombre 9-38, cuenta 39-52, moneda 53-55, monto 56-67, bic 68-78, concepto 79-108, cargos 109-111</t>
  </si>
  <si>
    <t>Layout del mt101-10k.txt (ancho fijo 111); ver LEEME-datos.md</t>
  </si>
  <si>
    <t>JSON</t>
  </si>
  <si>
    <t>Field mappings</t>
  </si>
  <si>
    <t>(opcional)</t>
  </si>
  <si>
    <t>Mapeos para tareas posteriores</t>
  </si>
  <si>
    <t>Excel</t>
  </si>
  <si>
    <t>Sheet index</t>
  </si>
  <si>
    <t>0</t>
  </si>
  <si>
    <t>Trim values</t>
  </si>
  <si>
    <t>Procesos (/processes)</t>
  </si>
  <si>
    <t>Crear</t>
  </si>
  <si>
    <t>Proceso QA demo</t>
  </si>
  <si>
    <t>Descripcion</t>
  </si>
  <si>
    <t>Proceso de prueba QA</t>
  </si>
  <si>
    <t>Programado (Scheduled)</t>
  </si>
  <si>
    <t>ON activa la Frecuencia (Every)</t>
  </si>
  <si>
    <t>Ejecutar</t>
  </si>
  <si>
    <t>Boton</t>
  </si>
  <si>
    <t>Ejecutar (Run)</t>
  </si>
  <si>
    <t>La corrida aparece en /executions</t>
  </si>
  <si>
    <t>FLUJO E2E MT101 (modulo E2E)</t>
  </si>
  <si>
    <t>Configurar catalogo (Fase A) -&gt; dejar el archivo en docker (Fase B) -&gt; ejecutar y verificar por etapa (Fase C) -&gt; reprocesos (Fase D).</t>
  </si>
  <si>
    <t>0) Archivos entregados</t>
  </si>
  <si>
    <t>En qa/fase-6-qa/datos-prueba/: mt101-10k.csv (10.000 filas, VOLUMEN) ; mt101-10k.xlsx ; mt101-10k.txt (ancho fijo) ; mt101-6.csv (humo). Ver LEEME-datos.md para la config de reader por formato. El QA NO tiene que generar nada.</t>
  </si>
  <si>
    <t>1) Esquema / muestra (6 filas)</t>
  </si>
  <si>
    <t>Esquema de columnas (el mismo en los 4 archivos). En el humo de 6 filas el caracter ~ en concepto lo limpia MT101_REPAIR (demuestra la reparacion SWIFT-X):</t>
  </si>
  <si>
    <t>cabecera</t>
  </si>
  <si>
    <t>dni,nombre,cuenta,moneda,monto,bic,concepto,cargos</t>
  </si>
  <si>
    <t>fila 1</t>
  </si>
  <si>
    <t>10000001,BENEFICIARIO 1,001000000001,PEN,101.50,BCPLPEPLXXX,PAGO ~ 1,SHA</t>
  </si>
  <si>
    <t>fila 2</t>
  </si>
  <si>
    <t>10000002,BENEFICIARIO 2,001000000002,PEN,102.50,BCPLPEPLXXX,PAGO ~ 2,SHA</t>
  </si>
  <si>
    <t>fila 3</t>
  </si>
  <si>
    <t>10000003,BENEFICIARIO 3,001000000003,PEN,103.50,BCPLPEPLXXX,PAGO ~ 3,SHA</t>
  </si>
  <si>
    <t>fila 4</t>
  </si>
  <si>
    <t>10000004,BENEFICIARIO 4,001000000004,PEN,104.50,BCPLPEPLXXX,PAGO ~ 4,SHA</t>
  </si>
  <si>
    <t>fila 5</t>
  </si>
  <si>
    <t>10000005,BENEFICIARIO 5,001000000005,PEN,105.50,BCPLPEPLXXX,PAGO ~ 5,SHA</t>
  </si>
  <si>
    <t>fila 6</t>
  </si>
  <si>
    <t>10000006,BENEFICIARIO 6,001000000006,PEN,106.50,BCPLPEPLXXX,PAGO ~ 6,SHA</t>
  </si>
  <si>
    <t>2) Reader CSV (E2E-02)</t>
  </si>
  <si>
    <t>8 columnas por posicion: dni(1) nombre(2) cuenta(3) moneda(4) monto(5,NUMBER) bic(6) concepto(7) cargos(8). Delimiter=, Encoding=UTF-8 Data starts at row=2.</t>
  </si>
  <si>
    <t>3) Dejar el archivo (E2E-05)</t>
  </si>
  <si>
    <t>Puertos SFTP/FTP/MinIO NO expuestos al host -&gt; copiar dentro del contenedor:</t>
  </si>
  <si>
    <t>SFTP (recomendado)</t>
  </si>
  <si>
    <t>docker cp mt101-10k.csv ih-int-sftp-source:/home/ihsource/upload/</t>
  </si>
  <si>
    <t>FTP (alternativa)</t>
  </si>
  <si>
    <t>docker cp mt101-10k.csv ih-int-ftp-source:/ftp/ihftp/</t>
  </si>
  <si>
    <t>S3/MinIO (alternativa)</t>
  </si>
  <si>
    <t>docker exec ih-int-minio-init mc cp /tmp/mt101-10k.csv local/ih-source-inbox/  (o mc con alias local)</t>
  </si>
  <si>
    <t>4) Pipeline (10 tareas, E2E-04)</t>
  </si>
  <si>
    <t>FILE_READ(source+reader) -&gt; MT101_BUILD -&gt; MT101_SPLIT(max 2/frag) -&gt; MT101_REPAIR(stripNonSwiftXChars) -&gt; MT101_VALIDATE(structural-mvp, failOn=ERROR) -&gt; MT101_ROUTE -&gt; MT101_ARCHIVE -&gt; MT101_PAY -&gt; MT101_STATUS -&gt; MT101_RECONCILE</t>
  </si>
  <si>
    <t>BUILD (mapeo CSV-&gt;MT101)</t>
  </si>
  <si>
    <t>moneda-&gt;currency ; monto-&gt;amount ; cuenta-&gt;beneficiary account ; nombre+dni-&gt;beneficiary ; bic-&gt;institution BIC ; concepto-&gt;remittance ; cargos-&gt;details of charges. Envelope: senderLt=SGOBFRPPAXXX receiverLt=BCPLPEPLXXXX</t>
  </si>
  <si>
    <t>5) Endpoints (para dev)</t>
  </si>
  <si>
    <t>Fuente: POST /api/source-definitions | Reader: POST /api/reader-definitions | Proceso: POST /api/process-definitions | Ejecutar (=boton Run): POST /api/process-executions/{idProceso} con body {}</t>
  </si>
  <si>
    <t>6) Verificar (por la UI, sin API)</t>
  </si>
  <si>
    <t>Hub = menu Ejecuciones &gt; abrir la corrida &gt; pestana "Tareas" (columnas Procesados/Escritos por tarea). Con mt101-6.csv (humo): FILE_READ=6, SPLIT 3 frag, PAY enviados=3. Con mt101-10k.csv (volumen): FILE_READ Escritos=10000, SPLIT 5000 frag, PAY enviados=10000 aceptados=10000, STATUS confirmados=10000, RECONCILE enviado==confirmado. Estado de fragmentos en Auditoria &gt; Fragmentos MT101 (SENT). Trazabilidad en Auditoria &gt; Linaje por :20:.</t>
  </si>
  <si>
    <t>7) Reprocesos</t>
  </si>
  <si>
    <t>E2E-15 cuarentena+corregir ; E2E-16 reingreso idempotente (0 pagos nuevos) ; E2E-17 rechazo-&gt;run correctivo ; E2E-18 no-enviado-&gt;re-solicitar ; E2E-19 maker-checker</t>
  </si>
  <si>
    <t>Resumen de ejecucion QA</t>
  </si>
  <si>
    <t>Total de casos</t>
  </si>
  <si>
    <t>Cantidad</t>
  </si>
  <si>
    <t>Pendiente</t>
  </si>
  <si>
    <t>Fail</t>
  </si>
  <si>
    <t>Por fase (orden de ejecucion)</t>
  </si>
  <si>
    <t>Casos</t>
  </si>
  <si>
    <t>Por modulo</t>
  </si>
  <si>
    <t>Deploy / Infraestructura / Acceso (nginx, TLS, /appih)</t>
  </si>
  <si>
    <t>Autenticacion / OIDC / Roles (Keycloak)</t>
  </si>
  <si>
    <t>Config CRUD: Fuentes (/appih/#/sources) con valores por campo</t>
  </si>
  <si>
    <t>Config CRUD: Conexiones JDBC (/appih/#/connections)</t>
  </si>
  <si>
    <t>Config CRUD: Readers (/appih/#/readers)</t>
  </si>
  <si>
    <t>Config CRUD: Procesos + Ejecuciones (/appih/#/processes)</t>
  </si>
  <si>
    <t>Flujo E2E: configurar -&gt; dejar archivo -&gt; ejecutar -&gt; verificar -&gt; reprocesar</t>
  </si>
  <si>
    <t>Fuentes (SFTP / FTP / S3-MinIO)</t>
  </si>
  <si>
    <t>MT101 Money-path (lectura -&gt; construccion -&gt; validacion -&gt; archivo)</t>
  </si>
  <si>
    <t>PAY / Anti-doble-pago (money-safety, dos nodos)</t>
  </si>
  <si>
    <t>PAY Correctivo (rechazo, run hijo, parcial)</t>
  </si>
  <si>
    <t>STATUS / RECONCILE / Confirmaciones del banco</t>
  </si>
  <si>
    <t>Maker-checker / PAY_CONFLICT (tanda-8/9)</t>
  </si>
  <si>
    <t>Consolas de UI (PAY conflicts, quarantine, lineage)</t>
  </si>
  <si>
    <t>Plugins out-of-process (gRPC + widget)</t>
  </si>
  <si>
    <t>Auditoria asincrona (Kafka -&gt; store frio)</t>
  </si>
  <si>
    <t>No funcionales (rendimiento, resiliencia, seguridad)</t>
  </si>
  <si>
    <t>Controles criticos bancarios / homologacion (vista consolidada)</t>
  </si>
  <si>
    <t>CHECKLIST DE APROBACION / HOMOLOGACION — Money-path MT101</t>
  </si>
  <si>
    <t>Cada gate se cierra cuando sus casos de referencia estan en Pass. Marcar Resultado y adjuntar evidencia. Al final, firmas.</t>
  </si>
  <si>
    <t>Criterio de aceptacion (gate)</t>
  </si>
  <si>
    <t>Casos de referencia</t>
  </si>
  <si>
    <t>Resultado</t>
  </si>
  <si>
    <t>Observaciones / Evidencia</t>
  </si>
  <si>
    <t>G-01</t>
  </si>
  <si>
    <t>Cero doble pago (anti-doble-pago) verificado en el banco</t>
  </si>
  <si>
    <t>BANK-01, PAY-05..12, E2E-16/18, NF-03</t>
  </si>
  <si>
    <t>G-02</t>
  </si>
  <si>
    <t>Ningun pago queda huerfano (todos en estado final)</t>
  </si>
  <si>
    <t>G-03</t>
  </si>
  <si>
    <t>BANK-03, STAT-08, E2E-17</t>
  </si>
  <si>
    <t>G-04</t>
  </si>
  <si>
    <t>Segregacion de funciones / maker-checker (four-eyes)</t>
  </si>
  <si>
    <t>BANK-04, MC-06..18, E2E-19</t>
  </si>
  <si>
    <t>G-05</t>
  </si>
  <si>
    <t>Auditoria inmutable / no repudio</t>
  </si>
  <si>
    <t>BANK-05, AUD-02, MC-22</t>
  </si>
  <si>
    <t>G-06</t>
  </si>
  <si>
    <t>Trazabilidad E2E de un pago (:20:)</t>
  </si>
  <si>
    <t>BANK-06, E2E-14</t>
  </si>
  <si>
    <t>G-07</t>
  </si>
  <si>
    <t>Cuadre fin de dia (enviado == confirmado)</t>
  </si>
  <si>
    <t>BANK-07, STAT-06, E2E-13</t>
  </si>
  <si>
    <t>G-08</t>
  </si>
  <si>
    <t>Idempotencia (reingreso no duplica)</t>
  </si>
  <si>
    <t>BANK-08, E2E-16</t>
  </si>
  <si>
    <t>G-09</t>
  </si>
  <si>
    <t>Validacion MT101 / cuarentena (nada mal formado al banco)</t>
  </si>
  <si>
    <t>BANK-10, MP-05..08, E2E-15</t>
  </si>
  <si>
    <t>G-10</t>
  </si>
  <si>
    <t>G-11</t>
  </si>
  <si>
    <t>BANK-16, NF-06</t>
  </si>
  <si>
    <t>G-12</t>
  </si>
  <si>
    <t>RBAC / minimo privilegio</t>
  </si>
  <si>
    <t>BANK-20, AUTH-09..13</t>
  </si>
  <si>
    <t>G-13</t>
  </si>
  <si>
    <t>Cifrado en transito (HTTPS/mTLS) + secretos fuera de claro</t>
  </si>
  <si>
    <t>BANK-14/15/22, NF-04/05</t>
  </si>
  <si>
    <t>G-14</t>
  </si>
  <si>
    <t>Rendimiento / escala (1.000.000)</t>
  </si>
  <si>
    <t>BANK-17, NF-01/02</t>
  </si>
  <si>
    <t>G-15</t>
  </si>
  <si>
    <t>Flujo E2E money-path completo (config-&gt;archivo-&gt;SENT-&gt;reproceso)</t>
  </si>
  <si>
    <t>E2E-01..20</t>
  </si>
  <si>
    <t>G-16</t>
  </si>
  <si>
    <t>CRUD de catalogo (Fuentes/Conexiones/Readers/Procesos)</t>
  </si>
  <si>
    <t>CSRC, CCON, CRDR, CPRO</t>
  </si>
  <si>
    <t>DECISION DE HOMOLOGACION Y FIRMAS</t>
  </si>
  <si>
    <t>Rol</t>
  </si>
  <si>
    <t>Nombre y cargo</t>
  </si>
  <si>
    <t>Decision</t>
  </si>
  <si>
    <t>Firma y fecha</t>
  </si>
  <si>
    <t>Lider QA</t>
  </si>
  <si>
    <t>Lider Tecnico / Dev</t>
  </si>
  <si>
    <t>Dueno de negocio / Producto</t>
  </si>
  <si>
    <t>Seguridad / Riesgos</t>
  </si>
  <si>
    <t>Representante del banco (opcional)</t>
  </si>
  <si>
    <t xml:space="preserve">Ejecucion v2</t>
  </si>
  <si>
    <t xml:space="preserve">Resultado v2</t>
  </si>
  <si>
    <t xml:space="preserve">Coincide v1-v2</t>
  </si>
  <si>
    <t xml:space="preserve">Si</t>
  </si>
  <si>
    <t xml:space="preserve">No</t>
  </si>
  <si>
    <t xml:space="preserve"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</si>
</sst>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1F3864"/>
      <sz val="15"/>
      <name val="Arial"/>
    </font>
    <font>
      <b/>
      <sz val="10"/>
      <name val="Arial"/>
    </font>
    <font>
      <sz val="10"/>
      <name val="Arial"/>
    </font>
    <font>
      <b/>
      <color rgb="FFFFFFFF"/>
      <sz val="12"/>
      <name val="Arial"/>
    </font>
    <font>
      <b/>
      <color rgb="FFFFFFFF"/>
      <sz val="10"/>
      <name val="Arial"/>
    </font>
    <font>
      <b/>
      <color rgb="FF1F3864"/>
      <sz val="12"/>
      <name val="Arial"/>
    </font>
    <font>
      <color rgb="FF1F3864"/>
      <sz val="10"/>
      <name val="Arial"/>
    </font>
    <font>
      <b/>
      <color rgb="FF1F3864"/>
      <sz val="14"/>
      <name val="Arial"/>
    </font>
    <font>
      <b/>
      <color rgb="FFFFFFFF"/>
      <name val="Arial"/>
    </font>
    <font>
      <b/>
      <name val="Arial"/>
    </font>
    <font>
      <b/>
      <color rgb="FF1F3864"/>
      <sz val="13"/>
      <name val="Arial"/>
    </font>
    <font>
      <i/>
      <sz val="9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EB9C"/>
      </patternFill>
    </fill>
    <fill>
      <patternFill patternType="solid">
        <fgColor rgb="FFFFF2CC"/>
      </patternFill>
    </fill>
    <fill>
      <patternFill patternType="solid">
        <fgColor rgb="FFD9D9D9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horizontal="center" vertical="top"/>
    </xf>
    <xf numFmtId="0" fontId="3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  <xf numFmtId="0" fontId="2" fillId="9" borderId="1" xfId="0" applyFont="1" applyFill="1" applyBorder="1" applyAlignment="1">
      <alignment vertical="top" wrapText="1"/>
    </xf>
    <xf numFmtId="0" fontId="6" fillId="0" borderId="0" xfId="0" applyFont="1"/>
    <xf numFmtId="0" fontId="0" fillId="0" borderId="0" xfId="0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7" fillId="0" borderId="0" xfId="0" applyFont="1" applyAlignment="1">
      <alignment vertical="top" wrapText="1"/>
    </xf>
    <xf numFmtId="0" fontId="8" fillId="0" borderId="0" xfId="0" applyFont="1"/>
    <xf numFmtId="0" fontId="3" fillId="0" borderId="0" xfId="0" applyFont="1"/>
    <xf numFmtId="0" fontId="9" fillId="2" borderId="0" xfId="0" applyFont="1" applyFill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4" fillId="2" borderId="0" xfId="0" applyFont="1" applyFill="1"/>
    <xf numFmtId="0" fontId="5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FormatPr defaultRowHeight="15" outlineLevelRow="0" outlineLevelCol="0" x14ac:dyDescent="55"/>
  <cols>
    <col min="1" max="1" width="26" customWidth="1"/>
    <col min="2" max="2" width="94" customWidth="1"/>
  </cols>
  <sheetData>
    <row r="1" ht="30" customHeight="1" spans="1:2" x14ac:dyDescent="0.25">
      <c r="A1" s="1" t="s">
        <v>0</v>
      </c>
      <c r="B1" s="1"/>
    </row>
    <row r="2" spans="1:2" x14ac:dyDescent="0.25">
      <c r="A2" s="2" t="s">
        <v>1</v>
      </c>
      <c r="B2" s="3" t="s">
        <v>2</v>
      </c>
    </row>
    <row r="3" spans="1:2" x14ac:dyDescent="0.25">
      <c r="A3" s="2" t="s">
        <v>3</v>
      </c>
      <c r="B3" s="3" t="s">
        <v>4</v>
      </c>
    </row>
    <row r="4" spans="1:2" x14ac:dyDescent="0.25">
      <c r="A4" s="2" t="s">
        <v>5</v>
      </c>
      <c r="B4" s="3" t="s">
        <v>6</v>
      </c>
    </row>
    <row r="6" ht="20" customHeight="1" spans="1:2" x14ac:dyDescent="0.25">
      <c r="A6" s="4" t="s">
        <v>7</v>
      </c>
      <c r="B6" s="4"/>
    </row>
    <row r="7" spans="1:2" x14ac:dyDescent="0.25">
      <c r="A7" s="2" t="s">
        <v>8</v>
      </c>
      <c r="B7" s="3" t="s">
        <v>9</v>
      </c>
    </row>
    <row r="9" ht="20" customHeight="1" spans="1:2" x14ac:dyDescent="0.25">
      <c r="A9" s="4" t="s">
        <v>10</v>
      </c>
      <c r="B9" s="4"/>
    </row>
    <row r="10" spans="1:2" x14ac:dyDescent="0.25">
      <c r="A10" s="2" t="s">
        <v>11</v>
      </c>
      <c r="B10" s="3" t="s">
        <v>12</v>
      </c>
    </row>
    <row r="11" spans="1:2" x14ac:dyDescent="0.25">
      <c r="A11" s="2" t="s">
        <v>13</v>
      </c>
      <c r="B11" s="3" t="s">
        <v>14</v>
      </c>
    </row>
    <row r="12" spans="1:2" x14ac:dyDescent="0.25">
      <c r="A12" s="2" t="s">
        <v>15</v>
      </c>
      <c r="B12" s="3" t="s">
        <v>16</v>
      </c>
    </row>
    <row r="13" spans="1:2" x14ac:dyDescent="0.25">
      <c r="A13" s="2" t="s">
        <v>17</v>
      </c>
      <c r="B13" s="3" t="s">
        <v>18</v>
      </c>
    </row>
    <row r="14" spans="1:2" x14ac:dyDescent="0.25">
      <c r="A14" s="2" t="s">
        <v>19</v>
      </c>
      <c r="B14" s="3" t="s">
        <v>20</v>
      </c>
    </row>
    <row r="15" spans="1:2" x14ac:dyDescent="0.25">
      <c r="A15" s="2" t="s">
        <v>21</v>
      </c>
      <c r="B15" s="3" t="s">
        <v>22</v>
      </c>
    </row>
    <row r="16" spans="1:2" x14ac:dyDescent="0.25">
      <c r="A16" s="2" t="s">
        <v>23</v>
      </c>
      <c r="B16" s="3" t="s">
        <v>24</v>
      </c>
    </row>
    <row r="18" ht="20" customHeight="1" spans="1:2" x14ac:dyDescent="0.25">
      <c r="A18" s="4" t="s">
        <v>25</v>
      </c>
      <c r="B18" s="4"/>
    </row>
    <row r="19" spans="1:2" x14ac:dyDescent="0.25">
      <c r="A19" s="2" t="s">
        <v>26</v>
      </c>
      <c r="B19" s="3" t="s">
        <v>27</v>
      </c>
    </row>
    <row r="20" spans="1:2" x14ac:dyDescent="0.25">
      <c r="A20" s="2" t="s">
        <v>28</v>
      </c>
      <c r="B20" s="3" t="s">
        <v>29</v>
      </c>
    </row>
    <row r="21" spans="1:2" x14ac:dyDescent="0.25">
      <c r="A21" s="2" t="s">
        <v>30</v>
      </c>
      <c r="B21" s="3" t="s">
        <v>31</v>
      </c>
    </row>
    <row r="22" spans="1:2" x14ac:dyDescent="0.25">
      <c r="A22" s="2" t="s">
        <v>32</v>
      </c>
      <c r="B22" s="3" t="s">
        <v>33</v>
      </c>
    </row>
    <row r="23" spans="1:2" x14ac:dyDescent="0.25">
      <c r="A23" s="2" t="s">
        <v>34</v>
      </c>
      <c r="B23" s="3" t="s">
        <v>35</v>
      </c>
    </row>
    <row r="24" spans="1:2" x14ac:dyDescent="0.25">
      <c r="A24" s="2" t="s">
        <v>36</v>
      </c>
      <c r="B24" s="3" t="s">
        <v>37</v>
      </c>
    </row>
    <row r="26" ht="20" customHeight="1" spans="1:2" x14ac:dyDescent="0.25">
      <c r="A26" s="4" t="s">
        <v>38</v>
      </c>
      <c r="B26" s="4"/>
    </row>
    <row r="27" spans="1:2" x14ac:dyDescent="0.25">
      <c r="A27" s="2" t="s">
        <v>39</v>
      </c>
      <c r="B27" s="3" t="s">
        <v>40</v>
      </c>
    </row>
    <row r="28" spans="1:2" x14ac:dyDescent="0.25">
      <c r="A28" s="2" t="s">
        <v>41</v>
      </c>
      <c r="B28" s="3" t="s">
        <v>42</v>
      </c>
    </row>
    <row r="29" spans="1:2" x14ac:dyDescent="0.25">
      <c r="A29" s="2" t="s">
        <v>43</v>
      </c>
      <c r="B29" s="3" t="s">
        <v>44</v>
      </c>
    </row>
  </sheetData>
  <mergeCells count="5">
    <mergeCell ref="A1:B1"/>
    <mergeCell ref="A6:B6"/>
    <mergeCell ref="A9:B9"/>
    <mergeCell ref="A18:B18"/>
    <mergeCell ref="A26:B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26" customWidth="1"/>
    <col min="3" max="3" width="10" customWidth="1"/>
    <col min="4" max="4" width="8" customWidth="1"/>
    <col min="5" max="5" width="14" customWidth="1"/>
    <col min="6" max="7" width="26" customWidth="1"/>
    <col min="8" max="9" width="40" customWidth="1"/>
    <col min="10" max="10" width="10" customWidth="1"/>
    <col min="11" max="11" width="12" customWidth="1"/>
    <col min="12" max="14" width="11" customWidth="1"/>
    <col min="15" max="15" width="24" customWidth="1"/>
  </cols>
  <sheetData>
    <row r="1" ht="26" customHeight="1" spans="1:18" x14ac:dyDescent="0.25">
      <c r="A1" s="5" t="s">
        <v>45</v>
      </c>
      <c r="B1" s="5" t="s">
        <v>46</v>
      </c>
      <c r="C1" s="5" t="s">
        <v>47</v>
      </c>
      <c r="D1" s="5" t="s">
        <v>48</v>
      </c>
      <c r="E1" s="5" t="s">
        <v>39</v>
      </c>
      <c r="F1" s="5" t="s">
        <v>49</v>
      </c>
      <c r="G1" s="5" t="s">
        <v>50</v>
      </c>
      <c r="H1" s="5" t="s">
        <v>51</v>
      </c>
      <c r="I1" s="5" t="s">
        <v>52</v>
      </c>
      <c r="J1" s="5" t="s">
        <v>53</v>
      </c>
      <c r="K1" s="5" t="s">
        <v>54</v>
      </c>
      <c r="L1" s="5" t="s">
        <v>41</v>
      </c>
      <c r="M1" s="5" t="s">
        <v>55</v>
      </c>
      <c r="N1" s="5" t="s">
        <v>1</v>
      </c>
      <c r="O1" s="5" t="s">
        <v>56</v>
      </c>
      <c r="P1" s="5" t="s">
        <v>1734</v>
      </c>
      <c r="Q1" s="5" t="s">
        <v>1735</v>
      </c>
      <c r="R1" s="5" t="s">
        <v>1736</v>
      </c>
    </row>
    <row r="2" spans="1:18" x14ac:dyDescent="0.25">
      <c r="A2" s="6">
        <v>1</v>
      </c>
      <c r="B2" s="7" t="s">
        <v>57</v>
      </c>
      <c r="C2" s="7" t="s">
        <v>58</v>
      </c>
      <c r="D2" s="7" t="s">
        <v>59</v>
      </c>
      <c r="E2" s="8" t="s">
        <v>60</v>
      </c>
      <c r="F2" s="7" t="s">
        <v>61</v>
      </c>
      <c r="G2" s="7" t="s">
        <v>62</v>
      </c>
      <c r="H2" s="7" t="s">
        <v>63</v>
      </c>
      <c r="I2" s="7" t="s">
        <v>64</v>
      </c>
      <c r="J2" s="7" t="s">
        <v>65</v>
      </c>
      <c r="K2" s="7" t="s">
        <v>66</v>
      </c>
      <c r="L2" s="9" t="s">
        <v>67</v>
      </c>
      <c r="M2" s="7" t="s">
        <v>68</v>
      </c>
      <c r="N2" s="7" t="s">
        <v>68</v>
      </c>
      <c r="O2" s="7" t="s">
        <v>69</v>
      </c>
      <c r="P2" s="7" t="s">
        <v>1737</v>
      </c>
      <c r="Q2" s="7" t="s">
        <v>67</v>
      </c>
      <c r="R2" s="7" t="s">
        <v>1737</v>
      </c>
    </row>
    <row r="3" spans="1:18" x14ac:dyDescent="0.25">
      <c r="A3" s="10">
        <v>2</v>
      </c>
      <c r="B3" s="11" t="s">
        <v>57</v>
      </c>
      <c r="C3" s="11" t="s">
        <v>70</v>
      </c>
      <c r="D3" s="11" t="s">
        <v>59</v>
      </c>
      <c r="E3" s="8" t="s">
        <v>60</v>
      </c>
      <c r="F3" s="11" t="s">
        <v>71</v>
      </c>
      <c r="G3" s="11" t="s">
        <v>72</v>
      </c>
      <c r="H3" s="11" t="s">
        <v>73</v>
      </c>
      <c r="I3" s="11" t="s">
        <v>74</v>
      </c>
      <c r="J3" s="11" t="s">
        <v>65</v>
      </c>
      <c r="K3" s="11" t="s">
        <v>66</v>
      </c>
      <c r="L3" s="12" t="s">
        <v>75</v>
      </c>
      <c r="M3" s="11" t="s">
        <v>68</v>
      </c>
      <c r="N3" s="11" t="s">
        <v>68</v>
      </c>
      <c r="O3" s="11" t="s">
        <v>76</v>
      </c>
      <c r="P3" s="11" t="s">
        <v>1737</v>
      </c>
      <c r="Q3" s="11" t="s">
        <v>67</v>
      </c>
      <c r="R3" s="11" t="s">
        <v>1739</v>
      </c>
    </row>
    <row r="4" spans="1:18" x14ac:dyDescent="0.25">
      <c r="A4" s="6">
        <v>3</v>
      </c>
      <c r="B4" s="7" t="s">
        <v>57</v>
      </c>
      <c r="C4" s="7" t="s">
        <v>77</v>
      </c>
      <c r="D4" s="7" t="s">
        <v>59</v>
      </c>
      <c r="E4" s="13" t="s">
        <v>78</v>
      </c>
      <c r="F4" s="7" t="s">
        <v>79</v>
      </c>
      <c r="G4" s="7" t="s">
        <v>80</v>
      </c>
      <c r="H4" s="7" t="s">
        <v>81</v>
      </c>
      <c r="I4" s="7" t="s">
        <v>82</v>
      </c>
      <c r="J4" s="7" t="s">
        <v>83</v>
      </c>
      <c r="K4" s="7" t="s">
        <v>66</v>
      </c>
      <c r="L4" s="12" t="s">
        <v>75</v>
      </c>
      <c r="M4" s="7" t="s">
        <v>68</v>
      </c>
      <c r="N4" s="7" t="s">
        <v>68</v>
      </c>
      <c r="O4" s="7" t="s">
        <v>84</v>
      </c>
      <c r="P4" s="7" t="s">
        <v>1737</v>
      </c>
      <c r="Q4" s="7" t="s">
        <v>75</v>
      </c>
      <c r="R4" s="7" t="s">
        <v>1737</v>
      </c>
    </row>
    <row r="5" spans="1:18" x14ac:dyDescent="0.25">
      <c r="A5" s="10">
        <v>4</v>
      </c>
      <c r="B5" s="11" t="s">
        <v>57</v>
      </c>
      <c r="C5" s="11" t="s">
        <v>85</v>
      </c>
      <c r="D5" s="11" t="s">
        <v>59</v>
      </c>
      <c r="E5" s="13" t="s">
        <v>78</v>
      </c>
      <c r="F5" s="11" t="s">
        <v>86</v>
      </c>
      <c r="G5" s="11" t="s">
        <v>87</v>
      </c>
      <c r="H5" s="11" t="s">
        <v>88</v>
      </c>
      <c r="I5" s="11" t="s">
        <v>89</v>
      </c>
      <c r="J5" s="11" t="s">
        <v>90</v>
      </c>
      <c r="K5" s="11" t="s">
        <v>91</v>
      </c>
      <c r="L5" s="9" t="s">
        <v>67</v>
      </c>
      <c r="M5" s="11" t="s">
        <v>68</v>
      </c>
      <c r="N5" s="11" t="s">
        <v>68</v>
      </c>
      <c r="O5" s="11" t="s">
        <v>92</v>
      </c>
      <c r="P5" s="11" t="s">
        <v>1737</v>
      </c>
      <c r="Q5" s="11" t="s">
        <v>67</v>
      </c>
      <c r="R5" s="11" t="s">
        <v>1737</v>
      </c>
    </row>
    <row r="6" spans="1:18" x14ac:dyDescent="0.25">
      <c r="A6" s="6">
        <v>5</v>
      </c>
      <c r="B6" s="7" t="s">
        <v>57</v>
      </c>
      <c r="C6" s="7" t="s">
        <v>93</v>
      </c>
      <c r="D6" s="7" t="s">
        <v>59</v>
      </c>
      <c r="E6" s="8" t="s">
        <v>60</v>
      </c>
      <c r="F6" s="7" t="s">
        <v>94</v>
      </c>
      <c r="G6" s="7" t="s">
        <v>95</v>
      </c>
      <c r="H6" s="7" t="s">
        <v>96</v>
      </c>
      <c r="I6" s="7" t="s">
        <v>97</v>
      </c>
      <c r="J6" s="7" t="s">
        <v>83</v>
      </c>
      <c r="K6" s="7" t="s">
        <v>98</v>
      </c>
      <c r="L6" s="9" t="s">
        <v>67</v>
      </c>
      <c r="M6" s="7" t="s">
        <v>68</v>
      </c>
      <c r="N6" s="7" t="s">
        <v>68</v>
      </c>
      <c r="O6" s="7" t="s">
        <v>99</v>
      </c>
      <c r="P6" s="7" t="s">
        <v>1738</v>
      </c>
      <c r="R6" s="7" t="s">
        <v>171</v>
      </c>
    </row>
    <row r="7" spans="1:18" x14ac:dyDescent="0.25">
      <c r="A7" s="10">
        <v>6</v>
      </c>
      <c r="B7" s="11" t="s">
        <v>57</v>
      </c>
      <c r="C7" s="11" t="s">
        <v>100</v>
      </c>
      <c r="D7" s="11" t="s">
        <v>59</v>
      </c>
      <c r="E7" s="13" t="s">
        <v>78</v>
      </c>
      <c r="F7" s="11" t="s">
        <v>101</v>
      </c>
      <c r="G7" s="11" t="s">
        <v>102</v>
      </c>
      <c r="H7" s="11" t="s">
        <v>103</v>
      </c>
      <c r="I7" s="11" t="s">
        <v>104</v>
      </c>
      <c r="J7" s="11" t="s">
        <v>65</v>
      </c>
      <c r="K7" s="11" t="s">
        <v>66</v>
      </c>
      <c r="L7" s="9" t="s">
        <v>67</v>
      </c>
      <c r="M7" s="11" t="s">
        <v>68</v>
      </c>
      <c r="N7" s="11" t="s">
        <v>68</v>
      </c>
      <c r="O7" s="11" t="s">
        <v>105</v>
      </c>
      <c r="P7" s="11" t="s">
        <v>1737</v>
      </c>
      <c r="Q7" s="11" t="s">
        <v>67</v>
      </c>
      <c r="R7" s="11" t="s">
        <v>1737</v>
      </c>
    </row>
    <row r="8" spans="1:18" x14ac:dyDescent="0.25">
      <c r="A8" s="6">
        <v>7</v>
      </c>
      <c r="B8" s="7" t="s">
        <v>57</v>
      </c>
      <c r="C8" s="7" t="s">
        <v>106</v>
      </c>
      <c r="D8" s="7" t="s">
        <v>59</v>
      </c>
      <c r="E8" s="8" t="s">
        <v>60</v>
      </c>
      <c r="F8" s="7" t="s">
        <v>107</v>
      </c>
      <c r="G8" s="7" t="s">
        <v>87</v>
      </c>
      <c r="H8" s="7" t="s">
        <v>108</v>
      </c>
      <c r="I8" s="7" t="s">
        <v>109</v>
      </c>
      <c r="J8" s="7" t="s">
        <v>90</v>
      </c>
      <c r="K8" s="7" t="s">
        <v>66</v>
      </c>
      <c r="L8" s="9" t="s">
        <v>67</v>
      </c>
      <c r="M8" s="7" t="s">
        <v>68</v>
      </c>
      <c r="N8" s="7" t="s">
        <v>68</v>
      </c>
      <c r="O8" s="7" t="s">
        <v>110</v>
      </c>
      <c r="P8" s="7" t="s">
        <v>1737</v>
      </c>
      <c r="Q8" s="7" t="s">
        <v>67</v>
      </c>
      <c r="R8" s="7" t="s">
        <v>1737</v>
      </c>
    </row>
    <row r="9" spans="1:18" x14ac:dyDescent="0.25">
      <c r="A9" s="10">
        <v>8</v>
      </c>
      <c r="B9" s="11" t="s">
        <v>57</v>
      </c>
      <c r="C9" s="11" t="s">
        <v>111</v>
      </c>
      <c r="D9" s="11" t="s">
        <v>59</v>
      </c>
      <c r="E9" s="13" t="s">
        <v>78</v>
      </c>
      <c r="F9" s="11" t="s">
        <v>112</v>
      </c>
      <c r="G9" s="11" t="s">
        <v>87</v>
      </c>
      <c r="H9" s="11" t="s">
        <v>113</v>
      </c>
      <c r="I9" s="11" t="s">
        <v>114</v>
      </c>
      <c r="J9" s="11" t="s">
        <v>65</v>
      </c>
      <c r="K9" s="11" t="s">
        <v>66</v>
      </c>
      <c r="L9" s="9" t="s">
        <v>67</v>
      </c>
      <c r="M9" s="11" t="s">
        <v>68</v>
      </c>
      <c r="N9" s="11" t="s">
        <v>68</v>
      </c>
      <c r="O9" s="11" t="s">
        <v>115</v>
      </c>
      <c r="P9" s="11" t="s">
        <v>1737</v>
      </c>
      <c r="Q9" s="11" t="s">
        <v>67</v>
      </c>
      <c r="R9" s="11" t="s">
        <v>1737</v>
      </c>
    </row>
    <row r="10" spans="1:18" x14ac:dyDescent="0.25">
      <c r="A10" s="6">
        <v>9</v>
      </c>
      <c r="B10" s="7" t="s">
        <v>57</v>
      </c>
      <c r="C10" s="7" t="s">
        <v>116</v>
      </c>
      <c r="D10" s="7" t="s">
        <v>59</v>
      </c>
      <c r="E10" s="13" t="s">
        <v>78</v>
      </c>
      <c r="F10" s="7" t="s">
        <v>117</v>
      </c>
      <c r="G10" s="7" t="s">
        <v>87</v>
      </c>
      <c r="H10" s="7" t="s">
        <v>118</v>
      </c>
      <c r="I10" s="7" t="s">
        <v>119</v>
      </c>
      <c r="J10" s="7" t="s">
        <v>65</v>
      </c>
      <c r="K10" s="7" t="s">
        <v>66</v>
      </c>
      <c r="L10" s="9" t="s">
        <v>67</v>
      </c>
      <c r="M10" s="7" t="s">
        <v>68</v>
      </c>
      <c r="N10" s="7" t="s">
        <v>68</v>
      </c>
      <c r="O10" s="7" t="s">
        <v>120</v>
      </c>
      <c r="P10" s="7" t="s">
        <v>1737</v>
      </c>
      <c r="Q10" s="7" t="s">
        <v>67</v>
      </c>
      <c r="R10" s="7" t="s">
        <v>1737</v>
      </c>
    </row>
    <row r="11" spans="1:18" x14ac:dyDescent="0.25">
      <c r="A11" s="10">
        <v>10</v>
      </c>
      <c r="B11" s="11" t="s">
        <v>57</v>
      </c>
      <c r="C11" s="11" t="s">
        <v>121</v>
      </c>
      <c r="D11" s="11" t="s">
        <v>59</v>
      </c>
      <c r="E11" s="13" t="s">
        <v>78</v>
      </c>
      <c r="F11" s="11" t="s">
        <v>122</v>
      </c>
      <c r="G11" s="11" t="s">
        <v>87</v>
      </c>
      <c r="H11" s="11" t="s">
        <v>123</v>
      </c>
      <c r="I11" s="11" t="s">
        <v>124</v>
      </c>
      <c r="J11" s="11" t="s">
        <v>65</v>
      </c>
      <c r="K11" s="11" t="s">
        <v>66</v>
      </c>
      <c r="L11" s="9" t="s">
        <v>67</v>
      </c>
      <c r="M11" s="11" t="s">
        <v>68</v>
      </c>
      <c r="N11" s="11" t="s">
        <v>68</v>
      </c>
      <c r="O11" s="11" t="s">
        <v>125</v>
      </c>
      <c r="P11" s="11" t="s">
        <v>1737</v>
      </c>
      <c r="Q11" s="11" t="s">
        <v>67</v>
      </c>
      <c r="R11" s="11" t="s">
        <v>1737</v>
      </c>
    </row>
    <row r="12" spans="1:18" x14ac:dyDescent="0.25">
      <c r="A12" s="6">
        <v>11</v>
      </c>
      <c r="B12" s="7" t="s">
        <v>57</v>
      </c>
      <c r="C12" s="7" t="s">
        <v>126</v>
      </c>
      <c r="D12" s="7" t="s">
        <v>59</v>
      </c>
      <c r="E12" s="13" t="s">
        <v>78</v>
      </c>
      <c r="F12" s="7" t="s">
        <v>127</v>
      </c>
      <c r="G12" s="7" t="s">
        <v>128</v>
      </c>
      <c r="H12" s="7" t="s">
        <v>129</v>
      </c>
      <c r="I12" s="7" t="s">
        <v>130</v>
      </c>
      <c r="J12" s="7" t="s">
        <v>83</v>
      </c>
      <c r="K12" s="7" t="s">
        <v>66</v>
      </c>
      <c r="L12" s="9" t="s">
        <v>67</v>
      </c>
      <c r="M12" s="7" t="s">
        <v>68</v>
      </c>
      <c r="N12" s="7" t="s">
        <v>68</v>
      </c>
      <c r="O12" s="7" t="s">
        <v>131</v>
      </c>
      <c r="P12" s="7" t="s">
        <v>1737</v>
      </c>
      <c r="Q12" s="7" t="s">
        <v>67</v>
      </c>
      <c r="R12" s="7" t="s">
        <v>1737</v>
      </c>
    </row>
    <row r="13" spans="1:18" x14ac:dyDescent="0.25">
      <c r="A13" s="10">
        <v>12</v>
      </c>
      <c r="B13" s="11" t="s">
        <v>57</v>
      </c>
      <c r="C13" s="11" t="s">
        <v>132</v>
      </c>
      <c r="D13" s="11" t="s">
        <v>59</v>
      </c>
      <c r="E13" s="13" t="s">
        <v>78</v>
      </c>
      <c r="F13" s="11" t="s">
        <v>133</v>
      </c>
      <c r="G13" s="11" t="s">
        <v>134</v>
      </c>
      <c r="H13" s="11" t="s">
        <v>135</v>
      </c>
      <c r="I13" s="11" t="s">
        <v>136</v>
      </c>
      <c r="J13" s="11" t="s">
        <v>65</v>
      </c>
      <c r="K13" s="11" t="s">
        <v>66</v>
      </c>
      <c r="L13" s="9" t="s">
        <v>67</v>
      </c>
      <c r="M13" s="11" t="s">
        <v>68</v>
      </c>
      <c r="N13" s="11" t="s">
        <v>68</v>
      </c>
      <c r="O13" s="11" t="s">
        <v>137</v>
      </c>
      <c r="P13" s="11" t="s">
        <v>1737</v>
      </c>
      <c r="Q13" s="11" t="s">
        <v>67</v>
      </c>
      <c r="R13" s="11" t="s">
        <v>1737</v>
      </c>
    </row>
    <row r="14" spans="1:18" x14ac:dyDescent="0.25">
      <c r="A14" s="6">
        <v>13</v>
      </c>
      <c r="B14" s="7" t="s">
        <v>57</v>
      </c>
      <c r="C14" s="7" t="s">
        <v>138</v>
      </c>
      <c r="D14" s="7" t="s">
        <v>59</v>
      </c>
      <c r="E14" s="13" t="s">
        <v>78</v>
      </c>
      <c r="F14" s="7" t="s">
        <v>139</v>
      </c>
      <c r="G14" s="7" t="s">
        <v>140</v>
      </c>
      <c r="H14" s="7" t="s">
        <v>141</v>
      </c>
      <c r="I14" s="7" t="s">
        <v>142</v>
      </c>
      <c r="J14" s="7" t="s">
        <v>83</v>
      </c>
      <c r="K14" s="7" t="s">
        <v>66</v>
      </c>
      <c r="L14" s="12" t="s">
        <v>75</v>
      </c>
      <c r="M14" s="7" t="s">
        <v>68</v>
      </c>
      <c r="N14" s="7" t="s">
        <v>68</v>
      </c>
      <c r="O14" s="7" t="s">
        <v>143</v>
      </c>
      <c r="P14" s="7" t="s">
        <v>1737</v>
      </c>
      <c r="Q14" s="7" t="s">
        <v>75</v>
      </c>
      <c r="R14" s="7" t="s">
        <v>1737</v>
      </c>
    </row>
    <row r="15" spans="1:18" x14ac:dyDescent="0.25">
      <c r="A15" s="10">
        <v>14</v>
      </c>
      <c r="B15" s="11" t="s">
        <v>57</v>
      </c>
      <c r="C15" s="11" t="s">
        <v>144</v>
      </c>
      <c r="D15" s="11" t="s">
        <v>59</v>
      </c>
      <c r="E15" s="13" t="s">
        <v>78</v>
      </c>
      <c r="F15" s="11" t="s">
        <v>145</v>
      </c>
      <c r="G15" s="11" t="s">
        <v>146</v>
      </c>
      <c r="H15" s="11" t="s">
        <v>147</v>
      </c>
      <c r="I15" s="11" t="s">
        <v>148</v>
      </c>
      <c r="J15" s="11" t="s">
        <v>90</v>
      </c>
      <c r="K15" s="11" t="s">
        <v>91</v>
      </c>
      <c r="L15" s="12" t="s">
        <v>75</v>
      </c>
      <c r="M15" s="11" t="s">
        <v>68</v>
      </c>
      <c r="N15" s="11" t="s">
        <v>68</v>
      </c>
      <c r="O15" s="11" t="s">
        <v>149</v>
      </c>
      <c r="P15" s="11" t="s">
        <v>1737</v>
      </c>
      <c r="Q15" s="11" t="s">
        <v>75</v>
      </c>
      <c r="R15" s="11" t="s">
        <v>1737</v>
      </c>
    </row>
    <row r="16" spans="1:18" x14ac:dyDescent="0.25">
      <c r="A16" s="6">
        <v>15</v>
      </c>
      <c r="B16" s="7" t="s">
        <v>150</v>
      </c>
      <c r="C16" s="7" t="s">
        <v>151</v>
      </c>
      <c r="D16" s="7" t="s">
        <v>152</v>
      </c>
      <c r="E16" s="8" t="s">
        <v>60</v>
      </c>
      <c r="F16" s="7" t="s">
        <v>153</v>
      </c>
      <c r="G16" s="7" t="s">
        <v>154</v>
      </c>
      <c r="H16" s="7" t="s">
        <v>155</v>
      </c>
      <c r="I16" s="7" t="s">
        <v>156</v>
      </c>
      <c r="J16" s="7" t="s">
        <v>65</v>
      </c>
      <c r="K16" s="7" t="s">
        <v>66</v>
      </c>
      <c r="L16" s="12" t="s">
        <v>75</v>
      </c>
      <c r="M16" s="7" t="s">
        <v>68</v>
      </c>
      <c r="N16" s="7" t="s">
        <v>68</v>
      </c>
      <c r="O16" s="7" t="s">
        <v>157</v>
      </c>
      <c r="P16" s="7" t="s">
        <v>1738</v>
      </c>
      <c r="R16" s="7" t="s">
        <v>171</v>
      </c>
    </row>
    <row r="17" spans="1:18" x14ac:dyDescent="0.25">
      <c r="A17" s="10">
        <v>16</v>
      </c>
      <c r="B17" s="11" t="s">
        <v>150</v>
      </c>
      <c r="C17" s="11" t="s">
        <v>158</v>
      </c>
      <c r="D17" s="11" t="s">
        <v>152</v>
      </c>
      <c r="E17" s="8" t="s">
        <v>60</v>
      </c>
      <c r="F17" s="11" t="s">
        <v>159</v>
      </c>
      <c r="G17" s="11" t="s">
        <v>87</v>
      </c>
      <c r="H17" s="11" t="s">
        <v>160</v>
      </c>
      <c r="I17" s="11" t="s">
        <v>161</v>
      </c>
      <c r="J17" s="11" t="s">
        <v>65</v>
      </c>
      <c r="K17" s="11" t="s">
        <v>91</v>
      </c>
      <c r="L17" s="12" t="s">
        <v>75</v>
      </c>
      <c r="M17" s="11" t="s">
        <v>68</v>
      </c>
      <c r="N17" s="11" t="s">
        <v>68</v>
      </c>
      <c r="O17" s="11" t="s">
        <v>162</v>
      </c>
      <c r="P17" s="11" t="s">
        <v>1738</v>
      </c>
      <c r="R17" s="11" t="s">
        <v>171</v>
      </c>
    </row>
    <row r="18" spans="1:18" x14ac:dyDescent="0.25">
      <c r="A18" s="6">
        <v>17</v>
      </c>
      <c r="B18" s="7" t="s">
        <v>150</v>
      </c>
      <c r="C18" s="7" t="s">
        <v>163</v>
      </c>
      <c r="D18" s="7" t="s">
        <v>152</v>
      </c>
      <c r="E18" s="8" t="s">
        <v>60</v>
      </c>
      <c r="F18" s="7" t="s">
        <v>164</v>
      </c>
      <c r="G18" s="7" t="s">
        <v>165</v>
      </c>
      <c r="H18" s="7" t="s">
        <v>166</v>
      </c>
      <c r="I18" s="7" t="s">
        <v>167</v>
      </c>
      <c r="J18" s="7" t="s">
        <v>83</v>
      </c>
      <c r="K18" s="7" t="s">
        <v>66</v>
      </c>
      <c r="L18" s="12" t="s">
        <v>75</v>
      </c>
      <c r="M18" s="7" t="s">
        <v>68</v>
      </c>
      <c r="N18" s="7" t="s">
        <v>68</v>
      </c>
      <c r="O18" s="7" t="s">
        <v>168</v>
      </c>
      <c r="P18" s="7" t="s">
        <v>1738</v>
      </c>
      <c r="R18" s="7" t="s">
        <v>171</v>
      </c>
    </row>
    <row r="19" spans="1:18" x14ac:dyDescent="0.25">
      <c r="A19" s="10">
        <v>18</v>
      </c>
      <c r="B19" s="11" t="s">
        <v>150</v>
      </c>
      <c r="C19" s="11" t="s">
        <v>169</v>
      </c>
      <c r="D19" s="11" t="s">
        <v>152</v>
      </c>
      <c r="E19" s="13" t="s">
        <v>78</v>
      </c>
      <c r="F19" s="11" t="s">
        <v>170</v>
      </c>
      <c r="G19" s="11" t="s">
        <v>171</v>
      </c>
      <c r="H19" s="11" t="s">
        <v>172</v>
      </c>
      <c r="I19" s="11" t="s">
        <v>173</v>
      </c>
      <c r="J19" s="11" t="s">
        <v>65</v>
      </c>
      <c r="K19" s="11" t="s">
        <v>98</v>
      </c>
      <c r="L19" s="9" t="s">
        <v>67</v>
      </c>
      <c r="M19" s="11" t="s">
        <v>68</v>
      </c>
      <c r="N19" s="11" t="s">
        <v>68</v>
      </c>
      <c r="O19" s="11" t="s">
        <v>174</v>
      </c>
      <c r="P19" s="11" t="s">
        <v>1737</v>
      </c>
      <c r="Q19" s="11" t="s">
        <v>67</v>
      </c>
      <c r="R19" s="11" t="s">
        <v>1737</v>
      </c>
    </row>
    <row r="20" spans="1:18" x14ac:dyDescent="0.25">
      <c r="A20" s="6">
        <v>19</v>
      </c>
      <c r="B20" s="7" t="s">
        <v>150</v>
      </c>
      <c r="C20" s="7" t="s">
        <v>175</v>
      </c>
      <c r="D20" s="7" t="s">
        <v>152</v>
      </c>
      <c r="E20" s="13" t="s">
        <v>78</v>
      </c>
      <c r="F20" s="7" t="s">
        <v>176</v>
      </c>
      <c r="G20" s="7" t="s">
        <v>171</v>
      </c>
      <c r="H20" s="7" t="s">
        <v>177</v>
      </c>
      <c r="I20" s="7" t="s">
        <v>178</v>
      </c>
      <c r="J20" s="7" t="s">
        <v>65</v>
      </c>
      <c r="K20" s="7" t="s">
        <v>98</v>
      </c>
      <c r="L20" s="9" t="s">
        <v>67</v>
      </c>
      <c r="M20" s="7" t="s">
        <v>68</v>
      </c>
      <c r="N20" s="7" t="s">
        <v>68</v>
      </c>
      <c r="O20" s="7" t="s">
        <v>179</v>
      </c>
      <c r="P20" s="7" t="s">
        <v>1737</v>
      </c>
      <c r="Q20" s="7" t="s">
        <v>67</v>
      </c>
      <c r="R20" s="7" t="s">
        <v>1737</v>
      </c>
    </row>
    <row r="21" spans="1:18" x14ac:dyDescent="0.25">
      <c r="A21" s="10">
        <v>20</v>
      </c>
      <c r="B21" s="11" t="s">
        <v>150</v>
      </c>
      <c r="C21" s="11" t="s">
        <v>180</v>
      </c>
      <c r="D21" s="11" t="s">
        <v>152</v>
      </c>
      <c r="E21" s="8" t="s">
        <v>60</v>
      </c>
      <c r="F21" s="11" t="s">
        <v>181</v>
      </c>
      <c r="G21" s="11" t="s">
        <v>165</v>
      </c>
      <c r="H21" s="11" t="s">
        <v>182</v>
      </c>
      <c r="I21" s="11" t="s">
        <v>183</v>
      </c>
      <c r="J21" s="11" t="s">
        <v>83</v>
      </c>
      <c r="K21" s="11" t="s">
        <v>66</v>
      </c>
      <c r="L21" s="12" t="s">
        <v>75</v>
      </c>
      <c r="M21" s="11" t="s">
        <v>68</v>
      </c>
      <c r="N21" s="11" t="s">
        <v>68</v>
      </c>
      <c r="O21" s="11" t="s">
        <v>184</v>
      </c>
      <c r="P21" s="11" t="s">
        <v>1737</v>
      </c>
      <c r="Q21" s="11" t="s">
        <v>67</v>
      </c>
      <c r="R21" s="11" t="s">
        <v>1739</v>
      </c>
    </row>
    <row r="22" spans="1:18" x14ac:dyDescent="0.25">
      <c r="A22" s="6">
        <v>21</v>
      </c>
      <c r="B22" s="7" t="s">
        <v>150</v>
      </c>
      <c r="C22" s="7" t="s">
        <v>185</v>
      </c>
      <c r="D22" s="7" t="s">
        <v>152</v>
      </c>
      <c r="E22" s="13" t="s">
        <v>78</v>
      </c>
      <c r="F22" s="7" t="s">
        <v>186</v>
      </c>
      <c r="G22" s="7" t="s">
        <v>171</v>
      </c>
      <c r="H22" s="7" t="s">
        <v>187</v>
      </c>
      <c r="I22" s="7" t="s">
        <v>188</v>
      </c>
      <c r="J22" s="7" t="s">
        <v>83</v>
      </c>
      <c r="K22" s="7" t="s">
        <v>91</v>
      </c>
      <c r="L22" s="12" t="s">
        <v>75</v>
      </c>
      <c r="M22" s="7" t="s">
        <v>68</v>
      </c>
      <c r="N22" s="7" t="s">
        <v>68</v>
      </c>
      <c r="O22" s="7" t="s">
        <v>189</v>
      </c>
      <c r="P22" s="7" t="s">
        <v>1737</v>
      </c>
      <c r="Q22" s="7" t="s">
        <v>75</v>
      </c>
      <c r="R22" s="7" t="s">
        <v>1737</v>
      </c>
    </row>
    <row r="23" spans="1:18" x14ac:dyDescent="0.25">
      <c r="A23" s="10">
        <v>22</v>
      </c>
      <c r="B23" s="11" t="s">
        <v>150</v>
      </c>
      <c r="C23" s="11" t="s">
        <v>190</v>
      </c>
      <c r="D23" s="11" t="s">
        <v>152</v>
      </c>
      <c r="E23" s="13" t="s">
        <v>78</v>
      </c>
      <c r="F23" s="11" t="s">
        <v>191</v>
      </c>
      <c r="G23" s="11" t="s">
        <v>171</v>
      </c>
      <c r="H23" s="11" t="s">
        <v>192</v>
      </c>
      <c r="I23" s="11" t="s">
        <v>193</v>
      </c>
      <c r="J23" s="11" t="s">
        <v>65</v>
      </c>
      <c r="K23" s="11" t="s">
        <v>98</v>
      </c>
      <c r="L23" s="9" t="s">
        <v>67</v>
      </c>
      <c r="M23" s="11" t="s">
        <v>68</v>
      </c>
      <c r="N23" s="11" t="s">
        <v>68</v>
      </c>
      <c r="O23" s="11" t="s">
        <v>194</v>
      </c>
      <c r="P23" s="11" t="s">
        <v>1737</v>
      </c>
      <c r="Q23" s="11" t="s">
        <v>67</v>
      </c>
      <c r="R23" s="11" t="s">
        <v>1737</v>
      </c>
    </row>
    <row r="24" spans="1:18" x14ac:dyDescent="0.25">
      <c r="A24" s="6">
        <v>23</v>
      </c>
      <c r="B24" s="7" t="s">
        <v>150</v>
      </c>
      <c r="C24" s="7" t="s">
        <v>195</v>
      </c>
      <c r="D24" s="7" t="s">
        <v>152</v>
      </c>
      <c r="E24" s="8" t="s">
        <v>60</v>
      </c>
      <c r="F24" s="7" t="s">
        <v>196</v>
      </c>
      <c r="G24" s="7" t="s">
        <v>197</v>
      </c>
      <c r="H24" s="7" t="s">
        <v>198</v>
      </c>
      <c r="I24" s="7" t="s">
        <v>199</v>
      </c>
      <c r="J24" s="7" t="s">
        <v>65</v>
      </c>
      <c r="K24" s="7" t="s">
        <v>66</v>
      </c>
      <c r="L24" s="9" t="s">
        <v>67</v>
      </c>
      <c r="M24" s="7" t="s">
        <v>68</v>
      </c>
      <c r="N24" s="7" t="s">
        <v>68</v>
      </c>
      <c r="O24" s="7" t="s">
        <v>200</v>
      </c>
      <c r="P24" s="7" t="s">
        <v>1737</v>
      </c>
      <c r="Q24" s="7" t="s">
        <v>67</v>
      </c>
      <c r="R24" s="7" t="s">
        <v>1737</v>
      </c>
    </row>
    <row r="25" spans="1:18" x14ac:dyDescent="0.25">
      <c r="A25" s="10">
        <v>24</v>
      </c>
      <c r="B25" s="11" t="s">
        <v>150</v>
      </c>
      <c r="C25" s="11" t="s">
        <v>201</v>
      </c>
      <c r="D25" s="11" t="s">
        <v>152</v>
      </c>
      <c r="E25" s="8" t="s">
        <v>60</v>
      </c>
      <c r="F25" s="11" t="s">
        <v>202</v>
      </c>
      <c r="G25" s="11" t="s">
        <v>203</v>
      </c>
      <c r="H25" s="11" t="s">
        <v>204</v>
      </c>
      <c r="I25" s="11" t="s">
        <v>205</v>
      </c>
      <c r="J25" s="11" t="s">
        <v>65</v>
      </c>
      <c r="K25" s="11" t="s">
        <v>98</v>
      </c>
      <c r="L25" s="9" t="s">
        <v>67</v>
      </c>
      <c r="M25" s="11" t="s">
        <v>68</v>
      </c>
      <c r="N25" s="11" t="s">
        <v>68</v>
      </c>
      <c r="O25" s="11" t="s">
        <v>206</v>
      </c>
      <c r="P25" s="11" t="s">
        <v>1737</v>
      </c>
      <c r="Q25" s="11" t="s">
        <v>67</v>
      </c>
      <c r="R25" s="11" t="s">
        <v>1737</v>
      </c>
    </row>
    <row r="26" spans="1:18" x14ac:dyDescent="0.25">
      <c r="A26" s="6">
        <v>25</v>
      </c>
      <c r="B26" s="7" t="s">
        <v>150</v>
      </c>
      <c r="C26" s="7" t="s">
        <v>207</v>
      </c>
      <c r="D26" s="7" t="s">
        <v>152</v>
      </c>
      <c r="E26" s="8" t="s">
        <v>60</v>
      </c>
      <c r="F26" s="7" t="s">
        <v>208</v>
      </c>
      <c r="G26" s="7" t="s">
        <v>209</v>
      </c>
      <c r="H26" s="7" t="s">
        <v>210</v>
      </c>
      <c r="I26" s="7" t="s">
        <v>211</v>
      </c>
      <c r="J26" s="7" t="s">
        <v>65</v>
      </c>
      <c r="K26" s="7" t="s">
        <v>98</v>
      </c>
      <c r="L26" s="9" t="s">
        <v>67</v>
      </c>
      <c r="M26" s="7" t="s">
        <v>68</v>
      </c>
      <c r="N26" s="7" t="s">
        <v>68</v>
      </c>
      <c r="O26" s="7" t="s">
        <v>212</v>
      </c>
      <c r="P26" s="7" t="s">
        <v>1738</v>
      </c>
      <c r="R26" s="7" t="s">
        <v>171</v>
      </c>
    </row>
    <row r="27" spans="1:18" x14ac:dyDescent="0.25">
      <c r="A27" s="10">
        <v>26</v>
      </c>
      <c r="B27" s="11" t="s">
        <v>150</v>
      </c>
      <c r="C27" s="11" t="s">
        <v>213</v>
      </c>
      <c r="D27" s="11" t="s">
        <v>152</v>
      </c>
      <c r="E27" s="8" t="s">
        <v>60</v>
      </c>
      <c r="F27" s="11" t="s">
        <v>214</v>
      </c>
      <c r="G27" s="11" t="s">
        <v>215</v>
      </c>
      <c r="H27" s="11" t="s">
        <v>216</v>
      </c>
      <c r="I27" s="11" t="s">
        <v>217</v>
      </c>
      <c r="J27" s="11" t="s">
        <v>65</v>
      </c>
      <c r="K27" s="11" t="s">
        <v>98</v>
      </c>
      <c r="L27" s="9" t="s">
        <v>67</v>
      </c>
      <c r="M27" s="11" t="s">
        <v>68</v>
      </c>
      <c r="N27" s="11" t="s">
        <v>68</v>
      </c>
      <c r="O27" s="11" t="s">
        <v>218</v>
      </c>
      <c r="P27" s="11" t="s">
        <v>1737</v>
      </c>
      <c r="Q27" s="11" t="s">
        <v>67</v>
      </c>
      <c r="R27" s="11" t="s">
        <v>1737</v>
      </c>
    </row>
    <row r="28" spans="1:18" x14ac:dyDescent="0.25">
      <c r="A28" s="6">
        <v>27</v>
      </c>
      <c r="B28" s="7" t="s">
        <v>150</v>
      </c>
      <c r="C28" s="7" t="s">
        <v>219</v>
      </c>
      <c r="D28" s="7" t="s">
        <v>152</v>
      </c>
      <c r="E28" s="8" t="s">
        <v>60</v>
      </c>
      <c r="F28" s="7" t="s">
        <v>220</v>
      </c>
      <c r="G28" s="7" t="s">
        <v>221</v>
      </c>
      <c r="H28" s="7" t="s">
        <v>222</v>
      </c>
      <c r="I28" s="7" t="s">
        <v>223</v>
      </c>
      <c r="J28" s="7" t="s">
        <v>83</v>
      </c>
      <c r="K28" s="7" t="s">
        <v>98</v>
      </c>
      <c r="L28" s="9" t="s">
        <v>67</v>
      </c>
      <c r="M28" s="7" t="s">
        <v>68</v>
      </c>
      <c r="N28" s="7" t="s">
        <v>68</v>
      </c>
      <c r="O28" s="7" t="s">
        <v>224</v>
      </c>
      <c r="P28" s="7" t="s">
        <v>1737</v>
      </c>
      <c r="Q28" s="7" t="s">
        <v>67</v>
      </c>
      <c r="R28" s="7" t="s">
        <v>1737</v>
      </c>
    </row>
    <row r="29" spans="1:18" x14ac:dyDescent="0.25">
      <c r="A29" s="10">
        <v>28</v>
      </c>
      <c r="B29" s="11" t="s">
        <v>150</v>
      </c>
      <c r="C29" s="11" t="s">
        <v>225</v>
      </c>
      <c r="D29" s="11" t="s">
        <v>152</v>
      </c>
      <c r="E29" s="8" t="s">
        <v>60</v>
      </c>
      <c r="F29" s="11" t="s">
        <v>226</v>
      </c>
      <c r="G29" s="11" t="s">
        <v>227</v>
      </c>
      <c r="H29" s="11" t="s">
        <v>228</v>
      </c>
      <c r="I29" s="11" t="s">
        <v>229</v>
      </c>
      <c r="J29" s="11" t="s">
        <v>83</v>
      </c>
      <c r="K29" s="11" t="s">
        <v>66</v>
      </c>
      <c r="L29" s="12" t="s">
        <v>75</v>
      </c>
      <c r="M29" s="11" t="s">
        <v>68</v>
      </c>
      <c r="N29" s="11" t="s">
        <v>68</v>
      </c>
      <c r="O29" s="11" t="s">
        <v>230</v>
      </c>
      <c r="P29" s="11" t="s">
        <v>1737</v>
      </c>
      <c r="Q29" s="11" t="s">
        <v>67</v>
      </c>
      <c r="R29" s="11" t="s">
        <v>1739</v>
      </c>
    </row>
    <row r="30" spans="1:18" x14ac:dyDescent="0.25">
      <c r="A30" s="6">
        <v>29</v>
      </c>
      <c r="B30" s="7" t="s">
        <v>231</v>
      </c>
      <c r="C30" s="7" t="s">
        <v>232</v>
      </c>
      <c r="D30" s="7" t="s">
        <v>233</v>
      </c>
      <c r="E30" s="8" t="s">
        <v>60</v>
      </c>
      <c r="F30" s="7" t="s">
        <v>234</v>
      </c>
      <c r="G30" s="7" t="s">
        <v>235</v>
      </c>
      <c r="H30" s="7" t="s">
        <v>236</v>
      </c>
      <c r="I30" s="7" t="s">
        <v>237</v>
      </c>
      <c r="J30" s="7" t="s">
        <v>83</v>
      </c>
      <c r="K30" s="7" t="s">
        <v>66</v>
      </c>
      <c r="L30" s="9" t="s">
        <v>67</v>
      </c>
      <c r="M30" s="7" t="s">
        <v>68</v>
      </c>
      <c r="N30" s="7" t="s">
        <v>68</v>
      </c>
      <c r="O30" s="7" t="s">
        <v>238</v>
      </c>
      <c r="P30" s="7" t="s">
        <v>1738</v>
      </c>
      <c r="R30" s="7" t="s">
        <v>171</v>
      </c>
    </row>
    <row r="31" spans="1:18" x14ac:dyDescent="0.25">
      <c r="A31" s="10">
        <v>30</v>
      </c>
      <c r="B31" s="11" t="s">
        <v>231</v>
      </c>
      <c r="C31" s="11" t="s">
        <v>239</v>
      </c>
      <c r="D31" s="11" t="s">
        <v>233</v>
      </c>
      <c r="E31" s="8" t="s">
        <v>60</v>
      </c>
      <c r="F31" s="11" t="s">
        <v>240</v>
      </c>
      <c r="G31" s="11" t="s">
        <v>241</v>
      </c>
      <c r="H31" s="11" t="s">
        <v>242</v>
      </c>
      <c r="I31" s="11" t="s">
        <v>243</v>
      </c>
      <c r="J31" s="11" t="s">
        <v>65</v>
      </c>
      <c r="K31" s="11" t="s">
        <v>66</v>
      </c>
      <c r="L31" s="9" t="s">
        <v>67</v>
      </c>
      <c r="M31" s="11" t="s">
        <v>68</v>
      </c>
      <c r="N31" s="11" t="s">
        <v>68</v>
      </c>
      <c r="O31" s="11" t="s">
        <v>244</v>
      </c>
      <c r="P31" s="11" t="s">
        <v>1737</v>
      </c>
      <c r="Q31" s="11" t="s">
        <v>67</v>
      </c>
      <c r="R31" s="11" t="s">
        <v>1737</v>
      </c>
    </row>
    <row r="32" spans="1:18" x14ac:dyDescent="0.25">
      <c r="A32" s="6">
        <v>31</v>
      </c>
      <c r="B32" s="7" t="s">
        <v>231</v>
      </c>
      <c r="C32" s="7" t="s">
        <v>245</v>
      </c>
      <c r="D32" s="7" t="s">
        <v>233</v>
      </c>
      <c r="E32" s="8" t="s">
        <v>60</v>
      </c>
      <c r="F32" s="7" t="s">
        <v>246</v>
      </c>
      <c r="G32" s="7" t="s">
        <v>247</v>
      </c>
      <c r="H32" s="7" t="s">
        <v>248</v>
      </c>
      <c r="I32" s="7" t="s">
        <v>249</v>
      </c>
      <c r="J32" s="7" t="s">
        <v>65</v>
      </c>
      <c r="K32" s="7" t="s">
        <v>66</v>
      </c>
      <c r="L32" s="9" t="s">
        <v>67</v>
      </c>
      <c r="M32" s="7" t="s">
        <v>68</v>
      </c>
      <c r="N32" s="7" t="s">
        <v>68</v>
      </c>
      <c r="O32" s="7" t="s">
        <v>250</v>
      </c>
      <c r="P32" s="7" t="s">
        <v>1737</v>
      </c>
      <c r="Q32" s="7" t="s">
        <v>67</v>
      </c>
      <c r="R32" s="7" t="s">
        <v>1737</v>
      </c>
    </row>
    <row r="33" spans="1:18" x14ac:dyDescent="0.25">
      <c r="A33" s="10">
        <v>32</v>
      </c>
      <c r="B33" s="11" t="s">
        <v>231</v>
      </c>
      <c r="C33" s="11" t="s">
        <v>251</v>
      </c>
      <c r="D33" s="11" t="s">
        <v>233</v>
      </c>
      <c r="E33" s="8" t="s">
        <v>60</v>
      </c>
      <c r="F33" s="11" t="s">
        <v>252</v>
      </c>
      <c r="G33" s="11" t="s">
        <v>253</v>
      </c>
      <c r="H33" s="11" t="s">
        <v>254</v>
      </c>
      <c r="I33" s="11" t="s">
        <v>255</v>
      </c>
      <c r="J33" s="11" t="s">
        <v>83</v>
      </c>
      <c r="K33" s="11" t="s">
        <v>66</v>
      </c>
      <c r="L33" s="9" t="s">
        <v>67</v>
      </c>
      <c r="M33" s="11" t="s">
        <v>68</v>
      </c>
      <c r="N33" s="11" t="s">
        <v>68</v>
      </c>
      <c r="O33" s="11" t="s">
        <v>256</v>
      </c>
      <c r="P33" s="11" t="s">
        <v>1737</v>
      </c>
      <c r="Q33" s="11" t="s">
        <v>67</v>
      </c>
      <c r="R33" s="11" t="s">
        <v>1737</v>
      </c>
    </row>
    <row r="34" spans="1:18" x14ac:dyDescent="0.25">
      <c r="A34" s="6">
        <v>33</v>
      </c>
      <c r="B34" s="7" t="s">
        <v>231</v>
      </c>
      <c r="C34" s="7" t="s">
        <v>257</v>
      </c>
      <c r="D34" s="7" t="s">
        <v>233</v>
      </c>
      <c r="E34" s="8" t="s">
        <v>60</v>
      </c>
      <c r="F34" s="7" t="s">
        <v>258</v>
      </c>
      <c r="G34" s="7" t="s">
        <v>259</v>
      </c>
      <c r="H34" s="7" t="s">
        <v>260</v>
      </c>
      <c r="I34" s="7" t="s">
        <v>261</v>
      </c>
      <c r="J34" s="7" t="s">
        <v>83</v>
      </c>
      <c r="K34" s="7" t="s">
        <v>66</v>
      </c>
      <c r="L34" s="9" t="s">
        <v>67</v>
      </c>
      <c r="M34" s="7" t="s">
        <v>68</v>
      </c>
      <c r="N34" s="7" t="s">
        <v>68</v>
      </c>
      <c r="O34" s="7" t="s">
        <v>262</v>
      </c>
      <c r="P34" s="7" t="s">
        <v>1737</v>
      </c>
      <c r="Q34" s="7" t="s">
        <v>67</v>
      </c>
      <c r="R34" s="7" t="s">
        <v>1737</v>
      </c>
    </row>
    <row r="35" spans="1:18" x14ac:dyDescent="0.25">
      <c r="A35" s="10">
        <v>34</v>
      </c>
      <c r="B35" s="11" t="s">
        <v>231</v>
      </c>
      <c r="C35" s="11" t="s">
        <v>263</v>
      </c>
      <c r="D35" s="11" t="s">
        <v>233</v>
      </c>
      <c r="E35" s="8" t="s">
        <v>60</v>
      </c>
      <c r="F35" s="11" t="s">
        <v>264</v>
      </c>
      <c r="G35" s="11" t="s">
        <v>265</v>
      </c>
      <c r="H35" s="11" t="s">
        <v>266</v>
      </c>
      <c r="I35" s="11" t="s">
        <v>267</v>
      </c>
      <c r="J35" s="11" t="s">
        <v>83</v>
      </c>
      <c r="K35" s="11" t="s">
        <v>66</v>
      </c>
      <c r="L35" s="9" t="s">
        <v>67</v>
      </c>
      <c r="M35" s="11" t="s">
        <v>68</v>
      </c>
      <c r="N35" s="11" t="s">
        <v>68</v>
      </c>
      <c r="O35" s="11" t="s">
        <v>268</v>
      </c>
      <c r="P35" s="11" t="s">
        <v>1738</v>
      </c>
      <c r="R35" s="11" t="s">
        <v>171</v>
      </c>
    </row>
    <row r="36" spans="1:18" x14ac:dyDescent="0.25">
      <c r="A36" s="6">
        <v>35</v>
      </c>
      <c r="B36" s="7" t="s">
        <v>231</v>
      </c>
      <c r="C36" s="7" t="s">
        <v>269</v>
      </c>
      <c r="D36" s="7" t="s">
        <v>233</v>
      </c>
      <c r="E36" s="8" t="s">
        <v>60</v>
      </c>
      <c r="F36" s="7" t="s">
        <v>270</v>
      </c>
      <c r="G36" s="7" t="s">
        <v>271</v>
      </c>
      <c r="H36" s="7" t="s">
        <v>272</v>
      </c>
      <c r="I36" s="7" t="s">
        <v>273</v>
      </c>
      <c r="J36" s="7" t="s">
        <v>65</v>
      </c>
      <c r="K36" s="7" t="s">
        <v>91</v>
      </c>
      <c r="L36" s="9" t="s">
        <v>67</v>
      </c>
      <c r="M36" s="7" t="s">
        <v>68</v>
      </c>
      <c r="N36" s="7" t="s">
        <v>68</v>
      </c>
      <c r="O36" s="7" t="s">
        <v>274</v>
      </c>
      <c r="P36" s="7" t="s">
        <v>1737</v>
      </c>
      <c r="Q36" s="7" t="s">
        <v>67</v>
      </c>
      <c r="R36" s="7" t="s">
        <v>1737</v>
      </c>
    </row>
    <row r="37" spans="1:18" x14ac:dyDescent="0.25">
      <c r="A37" s="10">
        <v>36</v>
      </c>
      <c r="B37" s="11" t="s">
        <v>231</v>
      </c>
      <c r="C37" s="11" t="s">
        <v>275</v>
      </c>
      <c r="D37" s="11" t="s">
        <v>233</v>
      </c>
      <c r="E37" s="8" t="s">
        <v>60</v>
      </c>
      <c r="F37" s="11" t="s">
        <v>276</v>
      </c>
      <c r="G37" s="11" t="s">
        <v>277</v>
      </c>
      <c r="H37" s="11" t="s">
        <v>278</v>
      </c>
      <c r="I37" s="11" t="s">
        <v>279</v>
      </c>
      <c r="J37" s="11" t="s">
        <v>83</v>
      </c>
      <c r="K37" s="11" t="s">
        <v>98</v>
      </c>
      <c r="L37" s="9" t="s">
        <v>67</v>
      </c>
      <c r="M37" s="11" t="s">
        <v>68</v>
      </c>
      <c r="N37" s="11" t="s">
        <v>68</v>
      </c>
      <c r="O37" s="11" t="s">
        <v>280</v>
      </c>
      <c r="P37" s="11" t="s">
        <v>1738</v>
      </c>
      <c r="R37" s="11" t="s">
        <v>171</v>
      </c>
    </row>
    <row r="38" spans="1:18" x14ac:dyDescent="0.25">
      <c r="A38" s="6">
        <v>37</v>
      </c>
      <c r="B38" s="7" t="s">
        <v>231</v>
      </c>
      <c r="C38" s="7" t="s">
        <v>281</v>
      </c>
      <c r="D38" s="7" t="s">
        <v>233</v>
      </c>
      <c r="E38" s="8" t="s">
        <v>60</v>
      </c>
      <c r="F38" s="7" t="s">
        <v>282</v>
      </c>
      <c r="G38" s="7" t="s">
        <v>271</v>
      </c>
      <c r="H38" s="7" t="s">
        <v>283</v>
      </c>
      <c r="I38" s="7" t="s">
        <v>284</v>
      </c>
      <c r="J38" s="7" t="s">
        <v>83</v>
      </c>
      <c r="K38" s="7" t="s">
        <v>91</v>
      </c>
      <c r="L38" s="9" t="s">
        <v>67</v>
      </c>
      <c r="M38" s="7" t="s">
        <v>68</v>
      </c>
      <c r="N38" s="7" t="s">
        <v>68</v>
      </c>
      <c r="O38" s="7" t="s">
        <v>285</v>
      </c>
      <c r="P38" s="7" t="s">
        <v>1738</v>
      </c>
      <c r="R38" s="7" t="s">
        <v>171</v>
      </c>
    </row>
    <row r="39" spans="1:18" x14ac:dyDescent="0.25">
      <c r="A39" s="10">
        <v>38</v>
      </c>
      <c r="B39" s="11" t="s">
        <v>231</v>
      </c>
      <c r="C39" s="11" t="s">
        <v>286</v>
      </c>
      <c r="D39" s="11" t="s">
        <v>233</v>
      </c>
      <c r="E39" s="8" t="s">
        <v>60</v>
      </c>
      <c r="F39" s="11" t="s">
        <v>287</v>
      </c>
      <c r="G39" s="11" t="s">
        <v>271</v>
      </c>
      <c r="H39" s="11" t="s">
        <v>288</v>
      </c>
      <c r="I39" s="11" t="s">
        <v>289</v>
      </c>
      <c r="J39" s="11" t="s">
        <v>90</v>
      </c>
      <c r="K39" s="11" t="s">
        <v>66</v>
      </c>
      <c r="L39" s="9" t="s">
        <v>67</v>
      </c>
      <c r="M39" s="11" t="s">
        <v>68</v>
      </c>
      <c r="N39" s="11" t="s">
        <v>68</v>
      </c>
      <c r="O39" s="11" t="s">
        <v>290</v>
      </c>
      <c r="P39" s="11" t="s">
        <v>1738</v>
      </c>
      <c r="R39" s="11" t="s">
        <v>171</v>
      </c>
    </row>
    <row r="40" spans="1:18" x14ac:dyDescent="0.25">
      <c r="A40" s="6">
        <v>39</v>
      </c>
      <c r="B40" s="7" t="s">
        <v>231</v>
      </c>
      <c r="C40" s="7" t="s">
        <v>291</v>
      </c>
      <c r="D40" s="7" t="s">
        <v>233</v>
      </c>
      <c r="E40" s="13" t="s">
        <v>78</v>
      </c>
      <c r="F40" s="7" t="s">
        <v>292</v>
      </c>
      <c r="G40" s="7" t="s">
        <v>271</v>
      </c>
      <c r="H40" s="7" t="s">
        <v>293</v>
      </c>
      <c r="I40" s="7" t="s">
        <v>294</v>
      </c>
      <c r="J40" s="7" t="s">
        <v>90</v>
      </c>
      <c r="K40" s="7" t="s">
        <v>66</v>
      </c>
      <c r="L40" s="14" t="s">
        <v>295</v>
      </c>
      <c r="M40" s="7" t="s">
        <v>68</v>
      </c>
      <c r="N40" s="7" t="s">
        <v>68</v>
      </c>
      <c r="O40" s="7" t="s">
        <v>296</v>
      </c>
      <c r="P40" s="7" t="s">
        <v>1737</v>
      </c>
      <c r="Q40" s="7" t="s">
        <v>295</v>
      </c>
      <c r="R40" s="7" t="s">
        <v>1737</v>
      </c>
    </row>
    <row r="41" spans="1:18" x14ac:dyDescent="0.25">
      <c r="A41" s="10">
        <v>40</v>
      </c>
      <c r="B41" s="11" t="s">
        <v>231</v>
      </c>
      <c r="C41" s="11" t="s">
        <v>297</v>
      </c>
      <c r="D41" s="11" t="s">
        <v>233</v>
      </c>
      <c r="E41" s="8" t="s">
        <v>60</v>
      </c>
      <c r="F41" s="11" t="s">
        <v>298</v>
      </c>
      <c r="G41" s="11" t="s">
        <v>271</v>
      </c>
      <c r="H41" s="11" t="s">
        <v>299</v>
      </c>
      <c r="I41" s="11" t="s">
        <v>300</v>
      </c>
      <c r="J41" s="11" t="s">
        <v>83</v>
      </c>
      <c r="K41" s="11" t="s">
        <v>66</v>
      </c>
      <c r="L41" s="9" t="s">
        <v>67</v>
      </c>
      <c r="M41" s="11" t="s">
        <v>68</v>
      </c>
      <c r="N41" s="11" t="s">
        <v>68</v>
      </c>
      <c r="O41" s="11" t="s">
        <v>301</v>
      </c>
      <c r="P41" s="11" t="s">
        <v>1737</v>
      </c>
      <c r="Q41" s="11" t="s">
        <v>67</v>
      </c>
      <c r="R41" s="11" t="s">
        <v>1737</v>
      </c>
    </row>
    <row r="42" spans="1:18" x14ac:dyDescent="0.25">
      <c r="A42" s="6">
        <v>41</v>
      </c>
      <c r="B42" s="7" t="s">
        <v>231</v>
      </c>
      <c r="C42" s="7" t="s">
        <v>302</v>
      </c>
      <c r="D42" s="7" t="s">
        <v>303</v>
      </c>
      <c r="E42" s="8" t="s">
        <v>60</v>
      </c>
      <c r="F42" s="7" t="s">
        <v>304</v>
      </c>
      <c r="G42" s="7" t="s">
        <v>305</v>
      </c>
      <c r="H42" s="7" t="s">
        <v>306</v>
      </c>
      <c r="I42" s="7" t="s">
        <v>307</v>
      </c>
      <c r="J42" s="7" t="s">
        <v>83</v>
      </c>
      <c r="K42" s="7" t="s">
        <v>66</v>
      </c>
      <c r="L42" s="9" t="s">
        <v>67</v>
      </c>
      <c r="M42" s="7" t="s">
        <v>68</v>
      </c>
      <c r="N42" s="7" t="s">
        <v>68</v>
      </c>
      <c r="O42" s="7" t="s">
        <v>308</v>
      </c>
      <c r="P42" s="7" t="s">
        <v>1738</v>
      </c>
      <c r="R42" s="7" t="s">
        <v>171</v>
      </c>
    </row>
    <row r="43" spans="1:18" x14ac:dyDescent="0.25">
      <c r="A43" s="10">
        <v>42</v>
      </c>
      <c r="B43" s="11" t="s">
        <v>231</v>
      </c>
      <c r="C43" s="11" t="s">
        <v>309</v>
      </c>
      <c r="D43" s="11" t="s">
        <v>303</v>
      </c>
      <c r="E43" s="8" t="s">
        <v>60</v>
      </c>
      <c r="F43" s="11" t="s">
        <v>310</v>
      </c>
      <c r="G43" s="11" t="s">
        <v>311</v>
      </c>
      <c r="H43" s="11" t="s">
        <v>312</v>
      </c>
      <c r="I43" s="11" t="s">
        <v>313</v>
      </c>
      <c r="J43" s="11" t="s">
        <v>65</v>
      </c>
      <c r="K43" s="11" t="s">
        <v>66</v>
      </c>
      <c r="L43" s="9" t="s">
        <v>67</v>
      </c>
      <c r="M43" s="11" t="s">
        <v>68</v>
      </c>
      <c r="N43" s="11" t="s">
        <v>68</v>
      </c>
      <c r="O43" s="11" t="s">
        <v>314</v>
      </c>
      <c r="P43" s="11" t="s">
        <v>1737</v>
      </c>
      <c r="Q43" s="11" t="s">
        <v>67</v>
      </c>
      <c r="R43" s="11" t="s">
        <v>1737</v>
      </c>
    </row>
    <row r="44" spans="1:18" x14ac:dyDescent="0.25">
      <c r="A44" s="6">
        <v>43</v>
      </c>
      <c r="B44" s="7" t="s">
        <v>231</v>
      </c>
      <c r="C44" s="7" t="s">
        <v>315</v>
      </c>
      <c r="D44" s="7" t="s">
        <v>303</v>
      </c>
      <c r="E44" s="8" t="s">
        <v>60</v>
      </c>
      <c r="F44" s="7" t="s">
        <v>316</v>
      </c>
      <c r="G44" s="7" t="s">
        <v>271</v>
      </c>
      <c r="H44" s="7" t="s">
        <v>317</v>
      </c>
      <c r="I44" s="7" t="s">
        <v>318</v>
      </c>
      <c r="J44" s="7" t="s">
        <v>65</v>
      </c>
      <c r="K44" s="7" t="s">
        <v>91</v>
      </c>
      <c r="L44" s="9" t="s">
        <v>67</v>
      </c>
      <c r="M44" s="7" t="s">
        <v>68</v>
      </c>
      <c r="N44" s="7" t="s">
        <v>68</v>
      </c>
      <c r="O44" s="7" t="s">
        <v>319</v>
      </c>
      <c r="P44" s="7" t="s">
        <v>1737</v>
      </c>
      <c r="Q44" s="7" t="s">
        <v>67</v>
      </c>
      <c r="R44" s="7" t="s">
        <v>1737</v>
      </c>
    </row>
    <row r="45" spans="1:18" x14ac:dyDescent="0.25">
      <c r="A45" s="10">
        <v>44</v>
      </c>
      <c r="B45" s="11" t="s">
        <v>231</v>
      </c>
      <c r="C45" s="11" t="s">
        <v>320</v>
      </c>
      <c r="D45" s="11" t="s">
        <v>303</v>
      </c>
      <c r="E45" s="8" t="s">
        <v>60</v>
      </c>
      <c r="F45" s="11" t="s">
        <v>321</v>
      </c>
      <c r="G45" s="11" t="s">
        <v>322</v>
      </c>
      <c r="H45" s="11" t="s">
        <v>323</v>
      </c>
      <c r="I45" s="11" t="s">
        <v>324</v>
      </c>
      <c r="J45" s="11" t="s">
        <v>83</v>
      </c>
      <c r="K45" s="11" t="s">
        <v>66</v>
      </c>
      <c r="L45" s="9" t="s">
        <v>67</v>
      </c>
      <c r="M45" s="11" t="s">
        <v>68</v>
      </c>
      <c r="N45" s="11" t="s">
        <v>68</v>
      </c>
      <c r="O45" s="11" t="s">
        <v>325</v>
      </c>
      <c r="P45" s="11" t="s">
        <v>1738</v>
      </c>
      <c r="R45" s="11" t="s">
        <v>171</v>
      </c>
    </row>
    <row r="46" spans="1:18" x14ac:dyDescent="0.25">
      <c r="A46" s="6">
        <v>45</v>
      </c>
      <c r="B46" s="7" t="s">
        <v>231</v>
      </c>
      <c r="C46" s="7" t="s">
        <v>326</v>
      </c>
      <c r="D46" s="7" t="s">
        <v>303</v>
      </c>
      <c r="E46" s="8" t="s">
        <v>60</v>
      </c>
      <c r="F46" s="7" t="s">
        <v>327</v>
      </c>
      <c r="G46" s="7" t="s">
        <v>328</v>
      </c>
      <c r="H46" s="7" t="s">
        <v>329</v>
      </c>
      <c r="I46" s="7" t="s">
        <v>330</v>
      </c>
      <c r="J46" s="7" t="s">
        <v>83</v>
      </c>
      <c r="K46" s="7" t="s">
        <v>98</v>
      </c>
      <c r="L46" s="9" t="s">
        <v>67</v>
      </c>
      <c r="M46" s="7" t="s">
        <v>68</v>
      </c>
      <c r="N46" s="7" t="s">
        <v>68</v>
      </c>
      <c r="O46" s="7" t="s">
        <v>331</v>
      </c>
      <c r="P46" s="7" t="s">
        <v>1737</v>
      </c>
      <c r="Q46" s="7" t="s">
        <v>67</v>
      </c>
      <c r="R46" s="7" t="s">
        <v>1737</v>
      </c>
    </row>
    <row r="47" spans="1:18" x14ac:dyDescent="0.25">
      <c r="A47" s="10">
        <v>46</v>
      </c>
      <c r="B47" s="11" t="s">
        <v>231</v>
      </c>
      <c r="C47" s="11" t="s">
        <v>332</v>
      </c>
      <c r="D47" s="11" t="s">
        <v>303</v>
      </c>
      <c r="E47" s="13" t="s">
        <v>78</v>
      </c>
      <c r="F47" s="11" t="s">
        <v>333</v>
      </c>
      <c r="G47" s="11" t="s">
        <v>271</v>
      </c>
      <c r="H47" s="11" t="s">
        <v>334</v>
      </c>
      <c r="I47" s="11" t="s">
        <v>335</v>
      </c>
      <c r="J47" s="11" t="s">
        <v>90</v>
      </c>
      <c r="K47" s="11" t="s">
        <v>66</v>
      </c>
      <c r="L47" s="14" t="s">
        <v>295</v>
      </c>
      <c r="M47" s="11" t="s">
        <v>68</v>
      </c>
      <c r="N47" s="11" t="s">
        <v>68</v>
      </c>
      <c r="O47" s="11" t="s">
        <v>336</v>
      </c>
      <c r="P47" s="11" t="s">
        <v>1737</v>
      </c>
      <c r="Q47" s="11" t="s">
        <v>295</v>
      </c>
      <c r="R47" s="11" t="s">
        <v>1737</v>
      </c>
    </row>
    <row r="48" spans="1:18" x14ac:dyDescent="0.25">
      <c r="A48" s="6">
        <v>47</v>
      </c>
      <c r="B48" s="7" t="s">
        <v>231</v>
      </c>
      <c r="C48" s="7" t="s">
        <v>337</v>
      </c>
      <c r="D48" s="7" t="s">
        <v>338</v>
      </c>
      <c r="E48" s="8" t="s">
        <v>60</v>
      </c>
      <c r="F48" s="7" t="s">
        <v>339</v>
      </c>
      <c r="G48" s="7" t="s">
        <v>340</v>
      </c>
      <c r="H48" s="7" t="s">
        <v>341</v>
      </c>
      <c r="I48" s="7" t="s">
        <v>342</v>
      </c>
      <c r="J48" s="7" t="s">
        <v>83</v>
      </c>
      <c r="K48" s="7" t="s">
        <v>66</v>
      </c>
      <c r="L48" s="9" t="s">
        <v>67</v>
      </c>
      <c r="M48" s="7" t="s">
        <v>68</v>
      </c>
      <c r="N48" s="7" t="s">
        <v>68</v>
      </c>
      <c r="O48" s="7" t="s">
        <v>343</v>
      </c>
      <c r="P48" s="7" t="s">
        <v>1738</v>
      </c>
      <c r="R48" s="7" t="s">
        <v>171</v>
      </c>
    </row>
    <row r="49" spans="1:18" x14ac:dyDescent="0.25">
      <c r="A49" s="10">
        <v>48</v>
      </c>
      <c r="B49" s="11" t="s">
        <v>231</v>
      </c>
      <c r="C49" s="11" t="s">
        <v>344</v>
      </c>
      <c r="D49" s="11" t="s">
        <v>338</v>
      </c>
      <c r="E49" s="8" t="s">
        <v>60</v>
      </c>
      <c r="F49" s="11" t="s">
        <v>345</v>
      </c>
      <c r="G49" s="11" t="s">
        <v>271</v>
      </c>
      <c r="H49" s="11" t="s">
        <v>346</v>
      </c>
      <c r="I49" s="11" t="s">
        <v>347</v>
      </c>
      <c r="J49" s="11" t="s">
        <v>65</v>
      </c>
      <c r="K49" s="11" t="s">
        <v>66</v>
      </c>
      <c r="L49" s="9" t="s">
        <v>67</v>
      </c>
      <c r="M49" s="11" t="s">
        <v>68</v>
      </c>
      <c r="N49" s="11" t="s">
        <v>68</v>
      </c>
      <c r="O49" s="11" t="s">
        <v>348</v>
      </c>
      <c r="P49" s="11" t="s">
        <v>1737</v>
      </c>
      <c r="Q49" s="11" t="s">
        <v>67</v>
      </c>
      <c r="R49" s="11" t="s">
        <v>1737</v>
      </c>
    </row>
    <row r="50" spans="1:18" x14ac:dyDescent="0.25">
      <c r="A50" s="6">
        <v>49</v>
      </c>
      <c r="B50" s="7" t="s">
        <v>231</v>
      </c>
      <c r="C50" s="7" t="s">
        <v>349</v>
      </c>
      <c r="D50" s="7" t="s">
        <v>338</v>
      </c>
      <c r="E50" s="8" t="s">
        <v>60</v>
      </c>
      <c r="F50" s="7" t="s">
        <v>350</v>
      </c>
      <c r="G50" s="7" t="s">
        <v>271</v>
      </c>
      <c r="H50" s="7" t="s">
        <v>351</v>
      </c>
      <c r="I50" s="7" t="s">
        <v>352</v>
      </c>
      <c r="J50" s="7" t="s">
        <v>83</v>
      </c>
      <c r="K50" s="7" t="s">
        <v>66</v>
      </c>
      <c r="L50" s="9" t="s">
        <v>67</v>
      </c>
      <c r="M50" s="7" t="s">
        <v>68</v>
      </c>
      <c r="N50" s="7" t="s">
        <v>68</v>
      </c>
      <c r="O50" s="7" t="s">
        <v>353</v>
      </c>
      <c r="P50" s="7" t="s">
        <v>1738</v>
      </c>
      <c r="R50" s="7" t="s">
        <v>171</v>
      </c>
    </row>
    <row r="51" spans="1:18" x14ac:dyDescent="0.25">
      <c r="A51" s="10">
        <v>50</v>
      </c>
      <c r="B51" s="11" t="s">
        <v>231</v>
      </c>
      <c r="C51" s="11" t="s">
        <v>354</v>
      </c>
      <c r="D51" s="11" t="s">
        <v>338</v>
      </c>
      <c r="E51" s="8" t="s">
        <v>60</v>
      </c>
      <c r="F51" s="11" t="s">
        <v>355</v>
      </c>
      <c r="G51" s="11" t="s">
        <v>271</v>
      </c>
      <c r="H51" s="11" t="s">
        <v>356</v>
      </c>
      <c r="I51" s="11" t="s">
        <v>357</v>
      </c>
      <c r="J51" s="11" t="s">
        <v>83</v>
      </c>
      <c r="K51" s="11" t="s">
        <v>66</v>
      </c>
      <c r="L51" s="9" t="s">
        <v>67</v>
      </c>
      <c r="M51" s="11" t="s">
        <v>68</v>
      </c>
      <c r="N51" s="11" t="s">
        <v>68</v>
      </c>
      <c r="O51" s="11" t="s">
        <v>358</v>
      </c>
      <c r="P51" s="11" t="s">
        <v>1737</v>
      </c>
      <c r="Q51" s="11" t="s">
        <v>67</v>
      </c>
      <c r="R51" s="11" t="s">
        <v>1737</v>
      </c>
    </row>
    <row r="52" spans="1:18" x14ac:dyDescent="0.25">
      <c r="A52" s="6">
        <v>51</v>
      </c>
      <c r="B52" s="7" t="s">
        <v>231</v>
      </c>
      <c r="C52" s="7" t="s">
        <v>359</v>
      </c>
      <c r="D52" s="7" t="s">
        <v>338</v>
      </c>
      <c r="E52" s="8" t="s">
        <v>60</v>
      </c>
      <c r="F52" s="7" t="s">
        <v>360</v>
      </c>
      <c r="G52" s="7" t="s">
        <v>271</v>
      </c>
      <c r="H52" s="7" t="s">
        <v>361</v>
      </c>
      <c r="I52" s="7" t="s">
        <v>362</v>
      </c>
      <c r="J52" s="7" t="s">
        <v>83</v>
      </c>
      <c r="K52" s="7" t="s">
        <v>66</v>
      </c>
      <c r="L52" s="9" t="s">
        <v>67</v>
      </c>
      <c r="M52" s="7" t="s">
        <v>68</v>
      </c>
      <c r="N52" s="7" t="s">
        <v>68</v>
      </c>
      <c r="O52" s="7" t="s">
        <v>363</v>
      </c>
      <c r="P52" s="7" t="s">
        <v>1737</v>
      </c>
      <c r="Q52" s="7" t="s">
        <v>67</v>
      </c>
      <c r="R52" s="7" t="s">
        <v>1737</v>
      </c>
    </row>
    <row r="53" spans="1:18" x14ac:dyDescent="0.25">
      <c r="A53" s="10">
        <v>52</v>
      </c>
      <c r="B53" s="11" t="s">
        <v>231</v>
      </c>
      <c r="C53" s="11" t="s">
        <v>364</v>
      </c>
      <c r="D53" s="11" t="s">
        <v>338</v>
      </c>
      <c r="E53" s="8" t="s">
        <v>60</v>
      </c>
      <c r="F53" s="11" t="s">
        <v>365</v>
      </c>
      <c r="G53" s="11" t="s">
        <v>366</v>
      </c>
      <c r="H53" s="11" t="s">
        <v>367</v>
      </c>
      <c r="I53" s="11" t="s">
        <v>368</v>
      </c>
      <c r="J53" s="11" t="s">
        <v>83</v>
      </c>
      <c r="K53" s="11" t="s">
        <v>66</v>
      </c>
      <c r="L53" s="9" t="s">
        <v>67</v>
      </c>
      <c r="M53" s="11" t="s">
        <v>68</v>
      </c>
      <c r="N53" s="11" t="s">
        <v>68</v>
      </c>
      <c r="O53" s="11" t="s">
        <v>369</v>
      </c>
      <c r="P53" s="11" t="s">
        <v>1737</v>
      </c>
      <c r="Q53" s="11" t="s">
        <v>67</v>
      </c>
      <c r="R53" s="11" t="s">
        <v>1737</v>
      </c>
    </row>
    <row r="54" spans="1:18" x14ac:dyDescent="0.25">
      <c r="A54" s="6">
        <v>53</v>
      </c>
      <c r="B54" s="7" t="s">
        <v>231</v>
      </c>
      <c r="C54" s="7" t="s">
        <v>370</v>
      </c>
      <c r="D54" s="7" t="s">
        <v>338</v>
      </c>
      <c r="E54" s="8" t="s">
        <v>60</v>
      </c>
      <c r="F54" s="7" t="s">
        <v>371</v>
      </c>
      <c r="G54" s="7" t="s">
        <v>372</v>
      </c>
      <c r="H54" s="7" t="s">
        <v>373</v>
      </c>
      <c r="I54" s="7" t="s">
        <v>374</v>
      </c>
      <c r="J54" s="7" t="s">
        <v>83</v>
      </c>
      <c r="K54" s="7" t="s">
        <v>98</v>
      </c>
      <c r="L54" s="9" t="s">
        <v>67</v>
      </c>
      <c r="M54" s="7" t="s">
        <v>68</v>
      </c>
      <c r="N54" s="7" t="s">
        <v>68</v>
      </c>
      <c r="O54" s="7" t="s">
        <v>375</v>
      </c>
      <c r="P54" s="7" t="s">
        <v>1737</v>
      </c>
      <c r="Q54" s="7" t="s">
        <v>67</v>
      </c>
      <c r="R54" s="7" t="s">
        <v>1737</v>
      </c>
    </row>
    <row r="55" spans="1:18" x14ac:dyDescent="0.25">
      <c r="A55" s="10">
        <v>54</v>
      </c>
      <c r="B55" s="11" t="s">
        <v>231</v>
      </c>
      <c r="C55" s="11" t="s">
        <v>376</v>
      </c>
      <c r="D55" s="11" t="s">
        <v>377</v>
      </c>
      <c r="E55" s="8" t="s">
        <v>60</v>
      </c>
      <c r="F55" s="11" t="s">
        <v>378</v>
      </c>
      <c r="G55" s="11" t="s">
        <v>379</v>
      </c>
      <c r="H55" s="11" t="s">
        <v>380</v>
      </c>
      <c r="I55" s="11" t="s">
        <v>381</v>
      </c>
      <c r="J55" s="11" t="s">
        <v>83</v>
      </c>
      <c r="K55" s="11" t="s">
        <v>66</v>
      </c>
      <c r="L55" s="9" t="s">
        <v>67</v>
      </c>
      <c r="M55" s="11" t="s">
        <v>68</v>
      </c>
      <c r="N55" s="11" t="s">
        <v>68</v>
      </c>
      <c r="O55" s="11" t="s">
        <v>382</v>
      </c>
      <c r="P55" s="11" t="s">
        <v>1738</v>
      </c>
      <c r="R55" s="11" t="s">
        <v>171</v>
      </c>
    </row>
    <row r="56" spans="1:18" x14ac:dyDescent="0.25">
      <c r="A56" s="6">
        <v>55</v>
      </c>
      <c r="B56" s="7" t="s">
        <v>231</v>
      </c>
      <c r="C56" s="7" t="s">
        <v>383</v>
      </c>
      <c r="D56" s="7" t="s">
        <v>377</v>
      </c>
      <c r="E56" s="8" t="s">
        <v>60</v>
      </c>
      <c r="F56" s="7" t="s">
        <v>384</v>
      </c>
      <c r="G56" s="7" t="s">
        <v>385</v>
      </c>
      <c r="H56" s="7" t="s">
        <v>386</v>
      </c>
      <c r="I56" s="7" t="s">
        <v>387</v>
      </c>
      <c r="J56" s="7" t="s">
        <v>83</v>
      </c>
      <c r="K56" s="7" t="s">
        <v>66</v>
      </c>
      <c r="L56" s="9" t="s">
        <v>67</v>
      </c>
      <c r="M56" s="7" t="s">
        <v>68</v>
      </c>
      <c r="N56" s="7" t="s">
        <v>68</v>
      </c>
      <c r="O56" s="7" t="s">
        <v>388</v>
      </c>
      <c r="P56" s="7" t="s">
        <v>1738</v>
      </c>
      <c r="R56" s="7" t="s">
        <v>171</v>
      </c>
    </row>
    <row r="57" spans="1:18" x14ac:dyDescent="0.25">
      <c r="A57" s="10">
        <v>56</v>
      </c>
      <c r="B57" s="11" t="s">
        <v>231</v>
      </c>
      <c r="C57" s="11" t="s">
        <v>389</v>
      </c>
      <c r="D57" s="11" t="s">
        <v>377</v>
      </c>
      <c r="E57" s="8" t="s">
        <v>60</v>
      </c>
      <c r="F57" s="11" t="s">
        <v>390</v>
      </c>
      <c r="G57" s="11" t="s">
        <v>271</v>
      </c>
      <c r="H57" s="11" t="s">
        <v>391</v>
      </c>
      <c r="I57" s="11" t="s">
        <v>392</v>
      </c>
      <c r="J57" s="11" t="s">
        <v>83</v>
      </c>
      <c r="K57" s="11" t="s">
        <v>66</v>
      </c>
      <c r="L57" s="9" t="s">
        <v>67</v>
      </c>
      <c r="M57" s="11" t="s">
        <v>68</v>
      </c>
      <c r="N57" s="11" t="s">
        <v>68</v>
      </c>
      <c r="O57" s="11" t="s">
        <v>393</v>
      </c>
      <c r="P57" s="11" t="s">
        <v>1737</v>
      </c>
      <c r="Q57" s="11" t="s">
        <v>67</v>
      </c>
      <c r="R57" s="11" t="s">
        <v>1737</v>
      </c>
    </row>
    <row r="58" spans="1:18" x14ac:dyDescent="0.25">
      <c r="A58" s="6">
        <v>57</v>
      </c>
      <c r="B58" s="7" t="s">
        <v>231</v>
      </c>
      <c r="C58" s="7" t="s">
        <v>394</v>
      </c>
      <c r="D58" s="7" t="s">
        <v>377</v>
      </c>
      <c r="E58" s="8" t="s">
        <v>60</v>
      </c>
      <c r="F58" s="7" t="s">
        <v>395</v>
      </c>
      <c r="G58" s="7" t="s">
        <v>396</v>
      </c>
      <c r="H58" s="7" t="s">
        <v>397</v>
      </c>
      <c r="I58" s="7" t="s">
        <v>368</v>
      </c>
      <c r="J58" s="7" t="s">
        <v>83</v>
      </c>
      <c r="K58" s="7" t="s">
        <v>66</v>
      </c>
      <c r="L58" s="9" t="s">
        <v>67</v>
      </c>
      <c r="M58" s="7" t="s">
        <v>68</v>
      </c>
      <c r="N58" s="7" t="s">
        <v>68</v>
      </c>
      <c r="O58" s="7" t="s">
        <v>398</v>
      </c>
      <c r="P58" s="7" t="s">
        <v>1737</v>
      </c>
      <c r="Q58" s="7" t="s">
        <v>67</v>
      </c>
      <c r="R58" s="7" t="s">
        <v>1737</v>
      </c>
    </row>
    <row r="59" spans="1:18" x14ac:dyDescent="0.25">
      <c r="A59" s="10">
        <v>58</v>
      </c>
      <c r="B59" s="11" t="s">
        <v>231</v>
      </c>
      <c r="C59" s="11" t="s">
        <v>399</v>
      </c>
      <c r="D59" s="11" t="s">
        <v>377</v>
      </c>
      <c r="E59" s="8" t="s">
        <v>60</v>
      </c>
      <c r="F59" s="11" t="s">
        <v>400</v>
      </c>
      <c r="G59" s="11" t="s">
        <v>401</v>
      </c>
      <c r="H59" s="11" t="s">
        <v>402</v>
      </c>
      <c r="I59" s="11" t="s">
        <v>403</v>
      </c>
      <c r="J59" s="11" t="s">
        <v>65</v>
      </c>
      <c r="K59" s="11" t="s">
        <v>66</v>
      </c>
      <c r="L59" s="9" t="s">
        <v>67</v>
      </c>
      <c r="M59" s="11" t="s">
        <v>68</v>
      </c>
      <c r="N59" s="11" t="s">
        <v>68</v>
      </c>
      <c r="O59" s="11" t="s">
        <v>404</v>
      </c>
      <c r="P59" s="11" t="s">
        <v>1738</v>
      </c>
      <c r="R59" s="11" t="s">
        <v>171</v>
      </c>
    </row>
    <row r="60" spans="1:18" x14ac:dyDescent="0.25">
      <c r="A60" s="6">
        <v>59</v>
      </c>
      <c r="B60" s="7" t="s">
        <v>231</v>
      </c>
      <c r="C60" s="7" t="s">
        <v>405</v>
      </c>
      <c r="D60" s="7" t="s">
        <v>377</v>
      </c>
      <c r="E60" s="8" t="s">
        <v>60</v>
      </c>
      <c r="F60" s="7" t="s">
        <v>406</v>
      </c>
      <c r="G60" s="7" t="s">
        <v>407</v>
      </c>
      <c r="H60" s="7" t="s">
        <v>408</v>
      </c>
      <c r="I60" s="7" t="s">
        <v>409</v>
      </c>
      <c r="J60" s="7" t="s">
        <v>83</v>
      </c>
      <c r="K60" s="7" t="s">
        <v>98</v>
      </c>
      <c r="L60" s="9" t="s">
        <v>67</v>
      </c>
      <c r="M60" s="7" t="s">
        <v>68</v>
      </c>
      <c r="N60" s="7" t="s">
        <v>68</v>
      </c>
      <c r="O60" s="7" t="s">
        <v>410</v>
      </c>
      <c r="P60" s="7" t="s">
        <v>1737</v>
      </c>
      <c r="Q60" s="7" t="s">
        <v>67</v>
      </c>
      <c r="R60" s="7" t="s">
        <v>1737</v>
      </c>
    </row>
    <row r="61" spans="1:18" x14ac:dyDescent="0.25">
      <c r="A61" s="10">
        <v>60</v>
      </c>
      <c r="B61" s="11" t="s">
        <v>231</v>
      </c>
      <c r="C61" s="11" t="s">
        <v>411</v>
      </c>
      <c r="D61" s="11" t="s">
        <v>377</v>
      </c>
      <c r="E61" s="13" t="s">
        <v>78</v>
      </c>
      <c r="F61" s="11" t="s">
        <v>412</v>
      </c>
      <c r="G61" s="11" t="s">
        <v>413</v>
      </c>
      <c r="H61" s="11" t="s">
        <v>414</v>
      </c>
      <c r="I61" s="11" t="s">
        <v>415</v>
      </c>
      <c r="J61" s="11" t="s">
        <v>65</v>
      </c>
      <c r="K61" s="11" t="s">
        <v>66</v>
      </c>
      <c r="L61" s="9" t="s">
        <v>67</v>
      </c>
      <c r="M61" s="11" t="s">
        <v>68</v>
      </c>
      <c r="N61" s="11" t="s">
        <v>68</v>
      </c>
      <c r="O61" s="11" t="s">
        <v>416</v>
      </c>
      <c r="P61" s="11" t="s">
        <v>1737</v>
      </c>
      <c r="Q61" s="11" t="s">
        <v>67</v>
      </c>
      <c r="R61" s="11" t="s">
        <v>1737</v>
      </c>
    </row>
    <row r="62" spans="1:18" x14ac:dyDescent="0.25">
      <c r="A62" s="6">
        <v>61</v>
      </c>
      <c r="B62" s="7" t="s">
        <v>231</v>
      </c>
      <c r="C62" s="7" t="s">
        <v>417</v>
      </c>
      <c r="D62" s="7" t="s">
        <v>377</v>
      </c>
      <c r="E62" s="8" t="s">
        <v>60</v>
      </c>
      <c r="F62" s="7" t="s">
        <v>418</v>
      </c>
      <c r="G62" s="7" t="s">
        <v>419</v>
      </c>
      <c r="H62" s="7" t="s">
        <v>420</v>
      </c>
      <c r="I62" s="7" t="s">
        <v>421</v>
      </c>
      <c r="J62" s="7" t="s">
        <v>83</v>
      </c>
      <c r="K62" s="7" t="s">
        <v>66</v>
      </c>
      <c r="L62" s="9" t="s">
        <v>67</v>
      </c>
      <c r="M62" s="7" t="s">
        <v>68</v>
      </c>
      <c r="N62" s="7" t="s">
        <v>68</v>
      </c>
      <c r="O62" s="7" t="s">
        <v>422</v>
      </c>
      <c r="P62" s="7" t="s">
        <v>1738</v>
      </c>
      <c r="R62" s="7" t="s">
        <v>171</v>
      </c>
    </row>
    <row r="63" spans="1:18" x14ac:dyDescent="0.25">
      <c r="A63" s="10">
        <v>62</v>
      </c>
      <c r="B63" s="11" t="s">
        <v>423</v>
      </c>
      <c r="C63" s="11" t="s">
        <v>424</v>
      </c>
      <c r="D63" s="11" t="s">
        <v>425</v>
      </c>
      <c r="E63" s="8" t="s">
        <v>60</v>
      </c>
      <c r="F63" s="11" t="s">
        <v>426</v>
      </c>
      <c r="G63" s="11" t="s">
        <v>311</v>
      </c>
      <c r="H63" s="11" t="s">
        <v>427</v>
      </c>
      <c r="I63" s="11" t="s">
        <v>428</v>
      </c>
      <c r="J63" s="11" t="s">
        <v>65</v>
      </c>
      <c r="K63" s="11" t="s">
        <v>66</v>
      </c>
      <c r="L63" s="9" t="s">
        <v>67</v>
      </c>
      <c r="M63" s="11" t="s">
        <v>68</v>
      </c>
      <c r="N63" s="11" t="s">
        <v>68</v>
      </c>
      <c r="O63" s="11" t="s">
        <v>429</v>
      </c>
      <c r="P63" s="11" t="s">
        <v>1737</v>
      </c>
      <c r="Q63" s="11" t="s">
        <v>67</v>
      </c>
      <c r="R63" s="11" t="s">
        <v>1737</v>
      </c>
    </row>
    <row r="64" spans="1:18" x14ac:dyDescent="0.25">
      <c r="A64" s="6">
        <v>63</v>
      </c>
      <c r="B64" s="7" t="s">
        <v>423</v>
      </c>
      <c r="C64" s="7" t="s">
        <v>430</v>
      </c>
      <c r="D64" s="7" t="s">
        <v>425</v>
      </c>
      <c r="E64" s="8" t="s">
        <v>60</v>
      </c>
      <c r="F64" s="7" t="s">
        <v>431</v>
      </c>
      <c r="G64" s="7" t="s">
        <v>271</v>
      </c>
      <c r="H64" s="7" t="s">
        <v>432</v>
      </c>
      <c r="I64" s="7" t="s">
        <v>433</v>
      </c>
      <c r="J64" s="7" t="s">
        <v>65</v>
      </c>
      <c r="K64" s="7" t="s">
        <v>66</v>
      </c>
      <c r="L64" s="9" t="s">
        <v>67</v>
      </c>
      <c r="M64" s="7" t="s">
        <v>68</v>
      </c>
      <c r="N64" s="7" t="s">
        <v>68</v>
      </c>
      <c r="O64" s="7" t="s">
        <v>434</v>
      </c>
      <c r="P64" s="7" t="s">
        <v>1738</v>
      </c>
      <c r="R64" s="7" t="s">
        <v>171</v>
      </c>
    </row>
    <row r="65" spans="1:18" x14ac:dyDescent="0.25">
      <c r="A65" s="10">
        <v>64</v>
      </c>
      <c r="B65" s="11" t="s">
        <v>423</v>
      </c>
      <c r="C65" s="11" t="s">
        <v>435</v>
      </c>
      <c r="D65" s="11" t="s">
        <v>425</v>
      </c>
      <c r="E65" s="8" t="s">
        <v>60</v>
      </c>
      <c r="F65" s="11" t="s">
        <v>436</v>
      </c>
      <c r="G65" s="11" t="s">
        <v>241</v>
      </c>
      <c r="H65" s="11" t="s">
        <v>437</v>
      </c>
      <c r="I65" s="11" t="s">
        <v>438</v>
      </c>
      <c r="J65" s="11" t="s">
        <v>65</v>
      </c>
      <c r="K65" s="11" t="s">
        <v>66</v>
      </c>
      <c r="L65" s="9" t="s">
        <v>67</v>
      </c>
      <c r="M65" s="11" t="s">
        <v>68</v>
      </c>
      <c r="N65" s="11" t="s">
        <v>68</v>
      </c>
      <c r="O65" s="11" t="s">
        <v>439</v>
      </c>
      <c r="P65" s="11" t="s">
        <v>1737</v>
      </c>
      <c r="Q65" s="11" t="s">
        <v>67</v>
      </c>
      <c r="R65" s="11" t="s">
        <v>1737</v>
      </c>
    </row>
    <row r="66" spans="1:18" x14ac:dyDescent="0.25">
      <c r="A66" s="6">
        <v>65</v>
      </c>
      <c r="B66" s="7" t="s">
        <v>423</v>
      </c>
      <c r="C66" s="7" t="s">
        <v>440</v>
      </c>
      <c r="D66" s="7" t="s">
        <v>425</v>
      </c>
      <c r="E66" s="13" t="s">
        <v>78</v>
      </c>
      <c r="F66" s="7" t="s">
        <v>441</v>
      </c>
      <c r="G66" s="7" t="s">
        <v>442</v>
      </c>
      <c r="H66" s="7" t="s">
        <v>443</v>
      </c>
      <c r="I66" s="7" t="s">
        <v>444</v>
      </c>
      <c r="J66" s="7" t="s">
        <v>65</v>
      </c>
      <c r="K66" s="7" t="s">
        <v>66</v>
      </c>
      <c r="L66" s="9" t="s">
        <v>67</v>
      </c>
      <c r="M66" s="7" t="s">
        <v>68</v>
      </c>
      <c r="N66" s="7" t="s">
        <v>68</v>
      </c>
      <c r="O66" s="7" t="s">
        <v>445</v>
      </c>
      <c r="P66" s="7" t="s">
        <v>1737</v>
      </c>
      <c r="Q66" s="7" t="s">
        <v>67</v>
      </c>
      <c r="R66" s="7" t="s">
        <v>1737</v>
      </c>
    </row>
    <row r="67" spans="1:18" x14ac:dyDescent="0.25">
      <c r="A67" s="10">
        <v>66</v>
      </c>
      <c r="B67" s="11" t="s">
        <v>423</v>
      </c>
      <c r="C67" s="11" t="s">
        <v>446</v>
      </c>
      <c r="D67" s="11" t="s">
        <v>425</v>
      </c>
      <c r="E67" s="13" t="s">
        <v>78</v>
      </c>
      <c r="F67" s="11" t="s">
        <v>447</v>
      </c>
      <c r="G67" s="11" t="s">
        <v>448</v>
      </c>
      <c r="H67" s="11" t="s">
        <v>449</v>
      </c>
      <c r="I67" s="11" t="s">
        <v>450</v>
      </c>
      <c r="J67" s="11" t="s">
        <v>65</v>
      </c>
      <c r="K67" s="11" t="s">
        <v>66</v>
      </c>
      <c r="L67" s="9" t="s">
        <v>67</v>
      </c>
      <c r="M67" s="11" t="s">
        <v>68</v>
      </c>
      <c r="N67" s="11" t="s">
        <v>68</v>
      </c>
      <c r="O67" s="11" t="s">
        <v>451</v>
      </c>
      <c r="P67" s="11" t="s">
        <v>1737</v>
      </c>
      <c r="Q67" s="11" t="s">
        <v>67</v>
      </c>
      <c r="R67" s="11" t="s">
        <v>1737</v>
      </c>
    </row>
    <row r="68" spans="1:18" x14ac:dyDescent="0.25">
      <c r="A68" s="6">
        <v>67</v>
      </c>
      <c r="B68" s="7" t="s">
        <v>423</v>
      </c>
      <c r="C68" s="7" t="s">
        <v>452</v>
      </c>
      <c r="D68" s="7" t="s">
        <v>425</v>
      </c>
      <c r="E68" s="8" t="s">
        <v>60</v>
      </c>
      <c r="F68" s="7" t="s">
        <v>453</v>
      </c>
      <c r="G68" s="7" t="s">
        <v>454</v>
      </c>
      <c r="H68" s="7" t="s">
        <v>455</v>
      </c>
      <c r="I68" s="7" t="s">
        <v>456</v>
      </c>
      <c r="J68" s="7" t="s">
        <v>65</v>
      </c>
      <c r="K68" s="7" t="s">
        <v>66</v>
      </c>
      <c r="L68" s="9" t="s">
        <v>67</v>
      </c>
      <c r="M68" s="7" t="s">
        <v>68</v>
      </c>
      <c r="N68" s="7" t="s">
        <v>68</v>
      </c>
      <c r="O68" s="7" t="s">
        <v>457</v>
      </c>
      <c r="P68" s="7" t="s">
        <v>1738</v>
      </c>
      <c r="R68" s="7" t="s">
        <v>171</v>
      </c>
    </row>
    <row r="69" spans="1:18" x14ac:dyDescent="0.25">
      <c r="A69" s="10">
        <v>68</v>
      </c>
      <c r="B69" s="11" t="s">
        <v>423</v>
      </c>
      <c r="C69" s="11" t="s">
        <v>458</v>
      </c>
      <c r="D69" s="11" t="s">
        <v>425</v>
      </c>
      <c r="E69" s="8" t="s">
        <v>60</v>
      </c>
      <c r="F69" s="11" t="s">
        <v>459</v>
      </c>
      <c r="G69" s="11" t="s">
        <v>460</v>
      </c>
      <c r="H69" s="11" t="s">
        <v>461</v>
      </c>
      <c r="I69" s="11" t="s">
        <v>462</v>
      </c>
      <c r="J69" s="11" t="s">
        <v>65</v>
      </c>
      <c r="K69" s="11" t="s">
        <v>66</v>
      </c>
      <c r="L69" s="9" t="s">
        <v>67</v>
      </c>
      <c r="M69" s="11" t="s">
        <v>68</v>
      </c>
      <c r="N69" s="11" t="s">
        <v>68</v>
      </c>
      <c r="O69" s="11" t="s">
        <v>463</v>
      </c>
      <c r="P69" s="11" t="s">
        <v>1738</v>
      </c>
      <c r="R69" s="11" t="s">
        <v>171</v>
      </c>
    </row>
    <row r="70" spans="1:18" x14ac:dyDescent="0.25">
      <c r="A70" s="6">
        <v>69</v>
      </c>
      <c r="B70" s="7" t="s">
        <v>423</v>
      </c>
      <c r="C70" s="7" t="s">
        <v>464</v>
      </c>
      <c r="D70" s="7" t="s">
        <v>425</v>
      </c>
      <c r="E70" s="8" t="s">
        <v>60</v>
      </c>
      <c r="F70" s="7" t="s">
        <v>465</v>
      </c>
      <c r="G70" s="7" t="s">
        <v>466</v>
      </c>
      <c r="H70" s="7" t="s">
        <v>467</v>
      </c>
      <c r="I70" s="7" t="s">
        <v>468</v>
      </c>
      <c r="J70" s="7" t="s">
        <v>65</v>
      </c>
      <c r="K70" s="7" t="s">
        <v>66</v>
      </c>
      <c r="L70" s="9" t="s">
        <v>67</v>
      </c>
      <c r="M70" s="7" t="s">
        <v>68</v>
      </c>
      <c r="N70" s="7" t="s">
        <v>68</v>
      </c>
      <c r="O70" s="7" t="s">
        <v>469</v>
      </c>
      <c r="P70" s="7" t="s">
        <v>1738</v>
      </c>
      <c r="R70" s="7" t="s">
        <v>171</v>
      </c>
    </row>
    <row r="71" spans="1:18" x14ac:dyDescent="0.25">
      <c r="A71" s="10">
        <v>70</v>
      </c>
      <c r="B71" s="11" t="s">
        <v>423</v>
      </c>
      <c r="C71" s="11" t="s">
        <v>470</v>
      </c>
      <c r="D71" s="11" t="s">
        <v>425</v>
      </c>
      <c r="E71" s="8" t="s">
        <v>60</v>
      </c>
      <c r="F71" s="11" t="s">
        <v>471</v>
      </c>
      <c r="G71" s="11" t="s">
        <v>466</v>
      </c>
      <c r="H71" s="11" t="s">
        <v>472</v>
      </c>
      <c r="I71" s="11" t="s">
        <v>473</v>
      </c>
      <c r="J71" s="11" t="s">
        <v>65</v>
      </c>
      <c r="K71" s="11" t="s">
        <v>66</v>
      </c>
      <c r="L71" s="9" t="s">
        <v>67</v>
      </c>
      <c r="M71" s="11" t="s">
        <v>68</v>
      </c>
      <c r="N71" s="11" t="s">
        <v>68</v>
      </c>
      <c r="O71" s="11" t="s">
        <v>474</v>
      </c>
      <c r="P71" s="11" t="s">
        <v>1737</v>
      </c>
      <c r="Q71" s="11" t="s">
        <v>67</v>
      </c>
      <c r="R71" s="11" t="s">
        <v>1737</v>
      </c>
    </row>
    <row r="72" spans="1:18" x14ac:dyDescent="0.25">
      <c r="A72" s="6">
        <v>71</v>
      </c>
      <c r="B72" s="7" t="s">
        <v>423</v>
      </c>
      <c r="C72" s="7" t="s">
        <v>475</v>
      </c>
      <c r="D72" s="7" t="s">
        <v>425</v>
      </c>
      <c r="E72" s="8" t="s">
        <v>60</v>
      </c>
      <c r="F72" s="7" t="s">
        <v>476</v>
      </c>
      <c r="G72" s="7" t="s">
        <v>466</v>
      </c>
      <c r="H72" s="7" t="s">
        <v>477</v>
      </c>
      <c r="I72" s="7" t="s">
        <v>478</v>
      </c>
      <c r="J72" s="7" t="s">
        <v>65</v>
      </c>
      <c r="K72" s="7" t="s">
        <v>66</v>
      </c>
      <c r="L72" s="9" t="s">
        <v>67</v>
      </c>
      <c r="M72" s="7" t="s">
        <v>68</v>
      </c>
      <c r="N72" s="7" t="s">
        <v>68</v>
      </c>
      <c r="O72" s="7" t="s">
        <v>479</v>
      </c>
      <c r="P72" s="7" t="s">
        <v>1737</v>
      </c>
      <c r="Q72" s="7" t="s">
        <v>67</v>
      </c>
      <c r="R72" s="7" t="s">
        <v>1737</v>
      </c>
    </row>
    <row r="73" spans="1:18" x14ac:dyDescent="0.25">
      <c r="A73" s="10">
        <v>72</v>
      </c>
      <c r="B73" s="11" t="s">
        <v>423</v>
      </c>
      <c r="C73" s="11" t="s">
        <v>480</v>
      </c>
      <c r="D73" s="11" t="s">
        <v>425</v>
      </c>
      <c r="E73" s="8" t="s">
        <v>60</v>
      </c>
      <c r="F73" s="11" t="s">
        <v>481</v>
      </c>
      <c r="G73" s="11" t="s">
        <v>482</v>
      </c>
      <c r="H73" s="11" t="s">
        <v>483</v>
      </c>
      <c r="I73" s="11" t="s">
        <v>484</v>
      </c>
      <c r="J73" s="11" t="s">
        <v>65</v>
      </c>
      <c r="K73" s="11" t="s">
        <v>66</v>
      </c>
      <c r="L73" s="9" t="s">
        <v>67</v>
      </c>
      <c r="M73" s="11" t="s">
        <v>68</v>
      </c>
      <c r="N73" s="11" t="s">
        <v>68</v>
      </c>
      <c r="O73" s="11" t="s">
        <v>485</v>
      </c>
      <c r="P73" s="11" t="s">
        <v>1738</v>
      </c>
      <c r="R73" s="11" t="s">
        <v>171</v>
      </c>
    </row>
    <row r="74" spans="1:18" x14ac:dyDescent="0.25">
      <c r="A74" s="6">
        <v>73</v>
      </c>
      <c r="B74" s="7" t="s">
        <v>423</v>
      </c>
      <c r="C74" s="7" t="s">
        <v>486</v>
      </c>
      <c r="D74" s="7" t="s">
        <v>425</v>
      </c>
      <c r="E74" s="8" t="s">
        <v>60</v>
      </c>
      <c r="F74" s="7" t="s">
        <v>487</v>
      </c>
      <c r="G74" s="7" t="s">
        <v>488</v>
      </c>
      <c r="H74" s="7" t="s">
        <v>489</v>
      </c>
      <c r="I74" s="7" t="s">
        <v>490</v>
      </c>
      <c r="J74" s="7" t="s">
        <v>65</v>
      </c>
      <c r="K74" s="7" t="s">
        <v>66</v>
      </c>
      <c r="L74" s="9" t="s">
        <v>67</v>
      </c>
      <c r="M74" s="7" t="s">
        <v>68</v>
      </c>
      <c r="N74" s="7" t="s">
        <v>68</v>
      </c>
      <c r="O74" s="7" t="s">
        <v>491</v>
      </c>
      <c r="P74" s="7" t="s">
        <v>1737</v>
      </c>
      <c r="Q74" s="7" t="s">
        <v>67</v>
      </c>
      <c r="R74" s="7" t="s">
        <v>1737</v>
      </c>
    </row>
    <row r="75" spans="1:18" x14ac:dyDescent="0.25">
      <c r="A75" s="10">
        <v>74</v>
      </c>
      <c r="B75" s="11" t="s">
        <v>423</v>
      </c>
      <c r="C75" s="11" t="s">
        <v>492</v>
      </c>
      <c r="D75" s="11" t="s">
        <v>425</v>
      </c>
      <c r="E75" s="8" t="s">
        <v>60</v>
      </c>
      <c r="F75" s="11" t="s">
        <v>493</v>
      </c>
      <c r="G75" s="11" t="s">
        <v>494</v>
      </c>
      <c r="H75" s="11" t="s">
        <v>495</v>
      </c>
      <c r="I75" s="11" t="s">
        <v>496</v>
      </c>
      <c r="J75" s="11" t="s">
        <v>65</v>
      </c>
      <c r="K75" s="11" t="s">
        <v>66</v>
      </c>
      <c r="L75" s="12" t="s">
        <v>75</v>
      </c>
      <c r="M75" s="11" t="s">
        <v>68</v>
      </c>
      <c r="N75" s="11" t="s">
        <v>68</v>
      </c>
      <c r="O75" s="11" t="s">
        <v>497</v>
      </c>
      <c r="P75" s="11" t="s">
        <v>1738</v>
      </c>
      <c r="R75" s="11" t="s">
        <v>171</v>
      </c>
    </row>
    <row r="76" spans="1:18" x14ac:dyDescent="0.25">
      <c r="A76" s="6">
        <v>75</v>
      </c>
      <c r="B76" s="7" t="s">
        <v>423</v>
      </c>
      <c r="C76" s="7" t="s">
        <v>498</v>
      </c>
      <c r="D76" s="7" t="s">
        <v>425</v>
      </c>
      <c r="E76" s="8" t="s">
        <v>60</v>
      </c>
      <c r="F76" s="7" t="s">
        <v>499</v>
      </c>
      <c r="G76" s="7" t="s">
        <v>500</v>
      </c>
      <c r="H76" s="7" t="s">
        <v>501</v>
      </c>
      <c r="I76" s="7" t="s">
        <v>502</v>
      </c>
      <c r="J76" s="7" t="s">
        <v>65</v>
      </c>
      <c r="K76" s="7" t="s">
        <v>66</v>
      </c>
      <c r="L76" s="9" t="s">
        <v>67</v>
      </c>
      <c r="M76" s="7" t="s">
        <v>68</v>
      </c>
      <c r="N76" s="7" t="s">
        <v>68</v>
      </c>
      <c r="O76" s="7" t="s">
        <v>503</v>
      </c>
      <c r="P76" s="7" t="s">
        <v>1738</v>
      </c>
      <c r="R76" s="7" t="s">
        <v>171</v>
      </c>
    </row>
    <row r="77" spans="1:18" x14ac:dyDescent="0.25">
      <c r="A77" s="10">
        <v>76</v>
      </c>
      <c r="B77" s="11" t="s">
        <v>423</v>
      </c>
      <c r="C77" s="11" t="s">
        <v>504</v>
      </c>
      <c r="D77" s="11" t="s">
        <v>425</v>
      </c>
      <c r="E77" s="8" t="s">
        <v>60</v>
      </c>
      <c r="F77" s="11" t="s">
        <v>505</v>
      </c>
      <c r="G77" s="11" t="s">
        <v>506</v>
      </c>
      <c r="H77" s="11" t="s">
        <v>507</v>
      </c>
      <c r="I77" s="11" t="s">
        <v>508</v>
      </c>
      <c r="J77" s="11" t="s">
        <v>65</v>
      </c>
      <c r="K77" s="11" t="s">
        <v>91</v>
      </c>
      <c r="L77" s="12" t="s">
        <v>75</v>
      </c>
      <c r="M77" s="11" t="s">
        <v>68</v>
      </c>
      <c r="N77" s="11" t="s">
        <v>68</v>
      </c>
      <c r="O77" s="11" t="s">
        <v>509</v>
      </c>
      <c r="P77" s="11" t="s">
        <v>1738</v>
      </c>
      <c r="R77" s="11" t="s">
        <v>171</v>
      </c>
    </row>
    <row r="78" spans="1:18" x14ac:dyDescent="0.25">
      <c r="A78" s="6">
        <v>77</v>
      </c>
      <c r="B78" s="7" t="s">
        <v>423</v>
      </c>
      <c r="C78" s="7" t="s">
        <v>510</v>
      </c>
      <c r="D78" s="7" t="s">
        <v>425</v>
      </c>
      <c r="E78" s="8" t="s">
        <v>60</v>
      </c>
      <c r="F78" s="7" t="s">
        <v>511</v>
      </c>
      <c r="G78" s="7" t="s">
        <v>512</v>
      </c>
      <c r="H78" s="7" t="s">
        <v>513</v>
      </c>
      <c r="I78" s="7" t="s">
        <v>514</v>
      </c>
      <c r="J78" s="7" t="s">
        <v>65</v>
      </c>
      <c r="K78" s="7" t="s">
        <v>98</v>
      </c>
      <c r="L78" s="12" t="s">
        <v>75</v>
      </c>
      <c r="M78" s="7" t="s">
        <v>68</v>
      </c>
      <c r="N78" s="7" t="s">
        <v>68</v>
      </c>
      <c r="O78" s="7" t="s">
        <v>515</v>
      </c>
      <c r="P78" s="7" t="s">
        <v>1737</v>
      </c>
      <c r="Q78" s="7" t="s">
        <v>75</v>
      </c>
      <c r="R78" s="7" t="s">
        <v>1737</v>
      </c>
    </row>
    <row r="79" spans="1:18" x14ac:dyDescent="0.25">
      <c r="A79" s="10">
        <v>78</v>
      </c>
      <c r="B79" s="11" t="s">
        <v>423</v>
      </c>
      <c r="C79" s="11" t="s">
        <v>516</v>
      </c>
      <c r="D79" s="11" t="s">
        <v>425</v>
      </c>
      <c r="E79" s="8" t="s">
        <v>60</v>
      </c>
      <c r="F79" s="11" t="s">
        <v>517</v>
      </c>
      <c r="G79" s="11" t="s">
        <v>518</v>
      </c>
      <c r="H79" s="11" t="s">
        <v>519</v>
      </c>
      <c r="I79" s="11" t="s">
        <v>520</v>
      </c>
      <c r="J79" s="11" t="s">
        <v>65</v>
      </c>
      <c r="K79" s="11" t="s">
        <v>98</v>
      </c>
      <c r="L79" s="12" t="s">
        <v>75</v>
      </c>
      <c r="M79" s="11" t="s">
        <v>68</v>
      </c>
      <c r="N79" s="11" t="s">
        <v>68</v>
      </c>
      <c r="O79" s="11" t="s">
        <v>521</v>
      </c>
      <c r="P79" s="11" t="s">
        <v>1738</v>
      </c>
      <c r="R79" s="11" t="s">
        <v>171</v>
      </c>
    </row>
    <row r="80" spans="1:18" x14ac:dyDescent="0.25">
      <c r="A80" s="6">
        <v>79</v>
      </c>
      <c r="B80" s="7" t="s">
        <v>423</v>
      </c>
      <c r="C80" s="7" t="s">
        <v>522</v>
      </c>
      <c r="D80" s="7" t="s">
        <v>425</v>
      </c>
      <c r="E80" s="8" t="s">
        <v>60</v>
      </c>
      <c r="F80" s="7" t="s">
        <v>523</v>
      </c>
      <c r="G80" s="7" t="s">
        <v>524</v>
      </c>
      <c r="H80" s="7" t="s">
        <v>525</v>
      </c>
      <c r="I80" s="7" t="s">
        <v>526</v>
      </c>
      <c r="J80" s="7" t="s">
        <v>65</v>
      </c>
      <c r="K80" s="7" t="s">
        <v>98</v>
      </c>
      <c r="L80" s="12" t="s">
        <v>75</v>
      </c>
      <c r="M80" s="7" t="s">
        <v>68</v>
      </c>
      <c r="N80" s="7" t="s">
        <v>68</v>
      </c>
      <c r="O80" s="7" t="s">
        <v>521</v>
      </c>
      <c r="P80" s="7" t="s">
        <v>1737</v>
      </c>
      <c r="Q80" s="7" t="s">
        <v>75</v>
      </c>
      <c r="R80" s="7" t="s">
        <v>1737</v>
      </c>
    </row>
    <row r="81" spans="1:18" x14ac:dyDescent="0.25">
      <c r="A81" s="10">
        <v>80</v>
      </c>
      <c r="B81" s="11" t="s">
        <v>423</v>
      </c>
      <c r="C81" s="11" t="s">
        <v>527</v>
      </c>
      <c r="D81" s="11" t="s">
        <v>425</v>
      </c>
      <c r="E81" s="8" t="s">
        <v>60</v>
      </c>
      <c r="F81" s="11" t="s">
        <v>528</v>
      </c>
      <c r="G81" s="11" t="s">
        <v>529</v>
      </c>
      <c r="H81" s="11" t="s">
        <v>530</v>
      </c>
      <c r="I81" s="11" t="s">
        <v>531</v>
      </c>
      <c r="J81" s="11" t="s">
        <v>65</v>
      </c>
      <c r="K81" s="11" t="s">
        <v>98</v>
      </c>
      <c r="L81" s="12" t="s">
        <v>75</v>
      </c>
      <c r="M81" s="11" t="s">
        <v>68</v>
      </c>
      <c r="N81" s="11" t="s">
        <v>68</v>
      </c>
      <c r="O81" s="11" t="s">
        <v>532</v>
      </c>
      <c r="P81" s="11" t="s">
        <v>1738</v>
      </c>
      <c r="R81" s="11" t="s">
        <v>171</v>
      </c>
    </row>
    <row r="82" spans="1:18" x14ac:dyDescent="0.25">
      <c r="A82" s="6">
        <v>81</v>
      </c>
      <c r="B82" s="7" t="s">
        <v>423</v>
      </c>
      <c r="C82" s="7" t="s">
        <v>533</v>
      </c>
      <c r="D82" s="7" t="s">
        <v>425</v>
      </c>
      <c r="E82" s="8" t="s">
        <v>60</v>
      </c>
      <c r="F82" s="7" t="s">
        <v>534</v>
      </c>
      <c r="G82" s="7" t="s">
        <v>535</v>
      </c>
      <c r="H82" s="7" t="s">
        <v>536</v>
      </c>
      <c r="I82" s="7" t="s">
        <v>537</v>
      </c>
      <c r="J82" s="7" t="s">
        <v>83</v>
      </c>
      <c r="K82" s="7" t="s">
        <v>66</v>
      </c>
      <c r="L82" s="9" t="s">
        <v>67</v>
      </c>
      <c r="M82" s="7" t="s">
        <v>68</v>
      </c>
      <c r="N82" s="7" t="s">
        <v>68</v>
      </c>
      <c r="O82" s="7" t="s">
        <v>538</v>
      </c>
      <c r="P82" s="7" t="s">
        <v>1738</v>
      </c>
      <c r="R82" s="7" t="s">
        <v>171</v>
      </c>
    </row>
    <row r="83" spans="1:18" x14ac:dyDescent="0.25">
      <c r="A83" s="10">
        <v>82</v>
      </c>
      <c r="B83" s="11" t="s">
        <v>423</v>
      </c>
      <c r="C83" s="11" t="s">
        <v>539</v>
      </c>
      <c r="D83" s="11" t="s">
        <v>425</v>
      </c>
      <c r="E83" s="13" t="s">
        <v>78</v>
      </c>
      <c r="F83" s="11" t="s">
        <v>540</v>
      </c>
      <c r="G83" s="11" t="s">
        <v>541</v>
      </c>
      <c r="H83" s="11" t="s">
        <v>542</v>
      </c>
      <c r="I83" s="11" t="s">
        <v>543</v>
      </c>
      <c r="J83" s="11" t="s">
        <v>83</v>
      </c>
      <c r="K83" s="11" t="s">
        <v>544</v>
      </c>
      <c r="L83" s="9" t="s">
        <v>67</v>
      </c>
      <c r="M83" s="11" t="s">
        <v>68</v>
      </c>
      <c r="N83" s="11" t="s">
        <v>68</v>
      </c>
      <c r="O83" s="11" t="s">
        <v>545</v>
      </c>
      <c r="P83" s="11" t="s">
        <v>1738</v>
      </c>
      <c r="R83" s="11" t="s">
        <v>171</v>
      </c>
    </row>
    <row r="84" spans="1:18" x14ac:dyDescent="0.25">
      <c r="A84" s="6">
        <v>83</v>
      </c>
      <c r="B84" s="7" t="s">
        <v>423</v>
      </c>
      <c r="C84" s="7" t="s">
        <v>546</v>
      </c>
      <c r="D84" s="7" t="s">
        <v>425</v>
      </c>
      <c r="E84" s="13" t="s">
        <v>78</v>
      </c>
      <c r="F84" s="7" t="s">
        <v>547</v>
      </c>
      <c r="G84" s="7" t="s">
        <v>548</v>
      </c>
      <c r="H84" s="7" t="s">
        <v>549</v>
      </c>
      <c r="I84" s="7" t="s">
        <v>550</v>
      </c>
      <c r="J84" s="7" t="s">
        <v>65</v>
      </c>
      <c r="K84" s="7" t="s">
        <v>544</v>
      </c>
      <c r="L84" s="9" t="s">
        <v>67</v>
      </c>
      <c r="M84" s="7" t="s">
        <v>68</v>
      </c>
      <c r="N84" s="7" t="s">
        <v>68</v>
      </c>
      <c r="O84" s="7" t="s">
        <v>551</v>
      </c>
      <c r="P84" s="7" t="s">
        <v>1738</v>
      </c>
      <c r="R84" s="7" t="s">
        <v>171</v>
      </c>
    </row>
    <row r="85" spans="1:18" x14ac:dyDescent="0.25">
      <c r="A85" s="10">
        <v>84</v>
      </c>
      <c r="B85" s="11" t="s">
        <v>423</v>
      </c>
      <c r="C85" s="11" t="s">
        <v>552</v>
      </c>
      <c r="D85" s="11" t="s">
        <v>425</v>
      </c>
      <c r="E85" s="8" t="s">
        <v>60</v>
      </c>
      <c r="F85" s="11" t="s">
        <v>553</v>
      </c>
      <c r="G85" s="11" t="s">
        <v>554</v>
      </c>
      <c r="H85" s="11" t="s">
        <v>555</v>
      </c>
      <c r="I85" s="11" t="s">
        <v>556</v>
      </c>
      <c r="J85" s="11" t="s">
        <v>65</v>
      </c>
      <c r="K85" s="11" t="s">
        <v>544</v>
      </c>
      <c r="L85" s="12" t="s">
        <v>75</v>
      </c>
      <c r="M85" s="11" t="s">
        <v>68</v>
      </c>
      <c r="N85" s="11" t="s">
        <v>68</v>
      </c>
      <c r="O85" s="11" t="s">
        <v>557</v>
      </c>
      <c r="P85" s="11" t="s">
        <v>1738</v>
      </c>
      <c r="R85" s="11" t="s">
        <v>171</v>
      </c>
    </row>
    <row r="86" spans="1:18" x14ac:dyDescent="0.25">
      <c r="A86" s="6">
        <v>85</v>
      </c>
      <c r="B86" s="7" t="s">
        <v>558</v>
      </c>
      <c r="C86" s="7" t="s">
        <v>559</v>
      </c>
      <c r="D86" s="7" t="s">
        <v>560</v>
      </c>
      <c r="E86" s="13" t="s">
        <v>78</v>
      </c>
      <c r="F86" s="7" t="s">
        <v>561</v>
      </c>
      <c r="G86" s="7" t="s">
        <v>562</v>
      </c>
      <c r="H86" s="7" t="s">
        <v>563</v>
      </c>
      <c r="I86" s="7" t="s">
        <v>564</v>
      </c>
      <c r="J86" s="7" t="s">
        <v>65</v>
      </c>
      <c r="K86" s="7" t="s">
        <v>66</v>
      </c>
      <c r="L86" s="9" t="s">
        <v>67</v>
      </c>
      <c r="M86" s="7" t="s">
        <v>68</v>
      </c>
      <c r="N86" s="7" t="s">
        <v>68</v>
      </c>
      <c r="O86" s="7" t="s">
        <v>565</v>
      </c>
      <c r="P86" s="7" t="s">
        <v>1737</v>
      </c>
      <c r="Q86" s="7" t="s">
        <v>67</v>
      </c>
      <c r="R86" s="7" t="s">
        <v>1737</v>
      </c>
    </row>
    <row r="87" spans="1:18" x14ac:dyDescent="0.25">
      <c r="A87" s="10">
        <v>86</v>
      </c>
      <c r="B87" s="11" t="s">
        <v>558</v>
      </c>
      <c r="C87" s="11" t="s">
        <v>566</v>
      </c>
      <c r="D87" s="11" t="s">
        <v>560</v>
      </c>
      <c r="E87" s="13" t="s">
        <v>78</v>
      </c>
      <c r="F87" s="11" t="s">
        <v>567</v>
      </c>
      <c r="G87" s="11" t="s">
        <v>568</v>
      </c>
      <c r="H87" s="11" t="s">
        <v>569</v>
      </c>
      <c r="I87" s="11" t="s">
        <v>570</v>
      </c>
      <c r="J87" s="11" t="s">
        <v>65</v>
      </c>
      <c r="K87" s="11" t="s">
        <v>98</v>
      </c>
      <c r="L87" s="12" t="s">
        <v>75</v>
      </c>
      <c r="M87" s="11" t="s">
        <v>68</v>
      </c>
      <c r="N87" s="11" t="s">
        <v>68</v>
      </c>
      <c r="O87" s="11" t="s">
        <v>571</v>
      </c>
      <c r="P87" s="11" t="s">
        <v>1737</v>
      </c>
      <c r="Q87" s="11" t="s">
        <v>75</v>
      </c>
      <c r="R87" s="11" t="s">
        <v>1737</v>
      </c>
    </row>
    <row r="88" spans="1:18" x14ac:dyDescent="0.25">
      <c r="A88" s="6">
        <v>87</v>
      </c>
      <c r="B88" s="7" t="s">
        <v>558</v>
      </c>
      <c r="C88" s="7" t="s">
        <v>572</v>
      </c>
      <c r="D88" s="7" t="s">
        <v>560</v>
      </c>
      <c r="E88" s="13" t="s">
        <v>78</v>
      </c>
      <c r="F88" s="7" t="s">
        <v>573</v>
      </c>
      <c r="G88" s="7" t="s">
        <v>574</v>
      </c>
      <c r="H88" s="7" t="s">
        <v>575</v>
      </c>
      <c r="I88" s="7" t="s">
        <v>576</v>
      </c>
      <c r="J88" s="7" t="s">
        <v>65</v>
      </c>
      <c r="K88" s="7" t="s">
        <v>98</v>
      </c>
      <c r="L88" s="12" t="s">
        <v>75</v>
      </c>
      <c r="M88" s="7" t="s">
        <v>68</v>
      </c>
      <c r="N88" s="7" t="s">
        <v>68</v>
      </c>
      <c r="O88" s="7" t="s">
        <v>577</v>
      </c>
      <c r="P88" s="7" t="s">
        <v>1737</v>
      </c>
      <c r="Q88" s="7" t="s">
        <v>75</v>
      </c>
      <c r="R88" s="7" t="s">
        <v>1737</v>
      </c>
    </row>
    <row r="89" spans="1:18" x14ac:dyDescent="0.25">
      <c r="A89" s="10">
        <v>88</v>
      </c>
      <c r="B89" s="11" t="s">
        <v>558</v>
      </c>
      <c r="C89" s="11" t="s">
        <v>578</v>
      </c>
      <c r="D89" s="11" t="s">
        <v>560</v>
      </c>
      <c r="E89" s="13" t="s">
        <v>78</v>
      </c>
      <c r="F89" s="11" t="s">
        <v>579</v>
      </c>
      <c r="G89" s="11" t="s">
        <v>171</v>
      </c>
      <c r="H89" s="11" t="s">
        <v>580</v>
      </c>
      <c r="I89" s="11" t="s">
        <v>581</v>
      </c>
      <c r="J89" s="11" t="s">
        <v>83</v>
      </c>
      <c r="K89" s="11" t="s">
        <v>91</v>
      </c>
      <c r="L89" s="12" t="s">
        <v>75</v>
      </c>
      <c r="M89" s="11" t="s">
        <v>68</v>
      </c>
      <c r="N89" s="11" t="s">
        <v>68</v>
      </c>
      <c r="O89" s="11" t="s">
        <v>582</v>
      </c>
      <c r="P89" s="11" t="s">
        <v>1737</v>
      </c>
      <c r="Q89" s="11" t="s">
        <v>75</v>
      </c>
      <c r="R89" s="11" t="s">
        <v>1737</v>
      </c>
    </row>
    <row r="90" spans="1:18" x14ac:dyDescent="0.25">
      <c r="A90" s="6">
        <v>89</v>
      </c>
      <c r="B90" s="7" t="s">
        <v>558</v>
      </c>
      <c r="C90" s="7" t="s">
        <v>583</v>
      </c>
      <c r="D90" s="7" t="s">
        <v>560</v>
      </c>
      <c r="E90" s="13" t="s">
        <v>78</v>
      </c>
      <c r="F90" s="7" t="s">
        <v>584</v>
      </c>
      <c r="G90" s="7" t="s">
        <v>585</v>
      </c>
      <c r="H90" s="7" t="s">
        <v>586</v>
      </c>
      <c r="I90" s="7" t="s">
        <v>587</v>
      </c>
      <c r="J90" s="7" t="s">
        <v>83</v>
      </c>
      <c r="K90" s="7" t="s">
        <v>66</v>
      </c>
      <c r="L90" s="9" t="s">
        <v>67</v>
      </c>
      <c r="M90" s="7" t="s">
        <v>68</v>
      </c>
      <c r="N90" s="7" t="s">
        <v>68</v>
      </c>
      <c r="O90" s="7" t="s">
        <v>588</v>
      </c>
      <c r="P90" s="7" t="s">
        <v>1737</v>
      </c>
      <c r="Q90" s="7" t="s">
        <v>67</v>
      </c>
      <c r="R90" s="7" t="s">
        <v>1737</v>
      </c>
    </row>
    <row r="91" spans="1:18" x14ac:dyDescent="0.25">
      <c r="A91" s="10">
        <v>90</v>
      </c>
      <c r="B91" s="11" t="s">
        <v>558</v>
      </c>
      <c r="C91" s="11" t="s">
        <v>589</v>
      </c>
      <c r="D91" s="11" t="s">
        <v>560</v>
      </c>
      <c r="E91" s="13" t="s">
        <v>78</v>
      </c>
      <c r="F91" s="11" t="s">
        <v>590</v>
      </c>
      <c r="G91" s="11" t="s">
        <v>591</v>
      </c>
      <c r="H91" s="11" t="s">
        <v>592</v>
      </c>
      <c r="I91" s="11" t="s">
        <v>593</v>
      </c>
      <c r="J91" s="11" t="s">
        <v>83</v>
      </c>
      <c r="K91" s="11" t="s">
        <v>66</v>
      </c>
      <c r="L91" s="9" t="s">
        <v>67</v>
      </c>
      <c r="M91" s="11" t="s">
        <v>68</v>
      </c>
      <c r="N91" s="11" t="s">
        <v>68</v>
      </c>
      <c r="O91" s="11" t="s">
        <v>594</v>
      </c>
      <c r="P91" s="11" t="s">
        <v>1737</v>
      </c>
      <c r="Q91" s="11" t="s">
        <v>67</v>
      </c>
      <c r="R91" s="11" t="s">
        <v>1737</v>
      </c>
    </row>
    <row r="92" spans="1:18" x14ac:dyDescent="0.25">
      <c r="A92" s="6">
        <v>91</v>
      </c>
      <c r="B92" s="7" t="s">
        <v>558</v>
      </c>
      <c r="C92" s="7" t="s">
        <v>595</v>
      </c>
      <c r="D92" s="7" t="s">
        <v>560</v>
      </c>
      <c r="E92" s="13" t="s">
        <v>78</v>
      </c>
      <c r="F92" s="7" t="s">
        <v>596</v>
      </c>
      <c r="G92" s="7" t="s">
        <v>171</v>
      </c>
      <c r="H92" s="7" t="s">
        <v>597</v>
      </c>
      <c r="I92" s="7" t="s">
        <v>598</v>
      </c>
      <c r="J92" s="7" t="s">
        <v>65</v>
      </c>
      <c r="K92" s="7" t="s">
        <v>66</v>
      </c>
      <c r="L92" s="9" t="s">
        <v>67</v>
      </c>
      <c r="M92" s="7" t="s">
        <v>68</v>
      </c>
      <c r="N92" s="7" t="s">
        <v>68</v>
      </c>
      <c r="O92" s="7" t="s">
        <v>599</v>
      </c>
      <c r="P92" s="7" t="s">
        <v>1737</v>
      </c>
      <c r="Q92" s="7" t="s">
        <v>67</v>
      </c>
      <c r="R92" s="7" t="s">
        <v>1737</v>
      </c>
    </row>
    <row r="93" spans="1:18" x14ac:dyDescent="0.25">
      <c r="A93" s="10">
        <v>92</v>
      </c>
      <c r="B93" s="11" t="s">
        <v>558</v>
      </c>
      <c r="C93" s="11" t="s">
        <v>600</v>
      </c>
      <c r="D93" s="11" t="s">
        <v>560</v>
      </c>
      <c r="E93" s="13" t="s">
        <v>78</v>
      </c>
      <c r="F93" s="11" t="s">
        <v>601</v>
      </c>
      <c r="G93" s="11" t="s">
        <v>171</v>
      </c>
      <c r="H93" s="11" t="s">
        <v>602</v>
      </c>
      <c r="I93" s="11" t="s">
        <v>603</v>
      </c>
      <c r="J93" s="11" t="s">
        <v>83</v>
      </c>
      <c r="K93" s="11" t="s">
        <v>66</v>
      </c>
      <c r="L93" s="9" t="s">
        <v>67</v>
      </c>
      <c r="M93" s="11" t="s">
        <v>68</v>
      </c>
      <c r="N93" s="11" t="s">
        <v>68</v>
      </c>
      <c r="O93" s="11" t="s">
        <v>604</v>
      </c>
      <c r="P93" s="11" t="s">
        <v>1737</v>
      </c>
      <c r="Q93" s="11" t="s">
        <v>67</v>
      </c>
      <c r="R93" s="11" t="s">
        <v>1737</v>
      </c>
    </row>
    <row r="94" spans="1:18" x14ac:dyDescent="0.25">
      <c r="A94" s="6">
        <v>93</v>
      </c>
      <c r="B94" s="7" t="s">
        <v>558</v>
      </c>
      <c r="C94" s="7" t="s">
        <v>605</v>
      </c>
      <c r="D94" s="7" t="s">
        <v>560</v>
      </c>
      <c r="E94" s="13" t="s">
        <v>78</v>
      </c>
      <c r="F94" s="7" t="s">
        <v>606</v>
      </c>
      <c r="G94" s="7" t="s">
        <v>171</v>
      </c>
      <c r="H94" s="7" t="s">
        <v>607</v>
      </c>
      <c r="I94" s="7" t="s">
        <v>608</v>
      </c>
      <c r="J94" s="7" t="s">
        <v>83</v>
      </c>
      <c r="K94" s="7" t="s">
        <v>66</v>
      </c>
      <c r="L94" s="9" t="s">
        <v>67</v>
      </c>
      <c r="M94" s="7" t="s">
        <v>68</v>
      </c>
      <c r="N94" s="7" t="s">
        <v>68</v>
      </c>
      <c r="O94" s="7" t="s">
        <v>609</v>
      </c>
      <c r="P94" s="7" t="s">
        <v>1737</v>
      </c>
      <c r="Q94" s="7" t="s">
        <v>67</v>
      </c>
      <c r="R94" s="7" t="s">
        <v>1737</v>
      </c>
    </row>
    <row r="95" spans="1:18" x14ac:dyDescent="0.25">
      <c r="A95" s="10">
        <v>94</v>
      </c>
      <c r="B95" s="11" t="s">
        <v>558</v>
      </c>
      <c r="C95" s="11" t="s">
        <v>610</v>
      </c>
      <c r="D95" s="11" t="s">
        <v>560</v>
      </c>
      <c r="E95" s="13" t="s">
        <v>78</v>
      </c>
      <c r="F95" s="11" t="s">
        <v>611</v>
      </c>
      <c r="G95" s="11" t="s">
        <v>171</v>
      </c>
      <c r="H95" s="11" t="s">
        <v>612</v>
      </c>
      <c r="I95" s="11" t="s">
        <v>613</v>
      </c>
      <c r="J95" s="11" t="s">
        <v>83</v>
      </c>
      <c r="K95" s="11" t="s">
        <v>91</v>
      </c>
      <c r="L95" s="9" t="s">
        <v>67</v>
      </c>
      <c r="M95" s="11" t="s">
        <v>68</v>
      </c>
      <c r="N95" s="11" t="s">
        <v>68</v>
      </c>
      <c r="O95" s="11" t="s">
        <v>614</v>
      </c>
      <c r="P95" s="11" t="s">
        <v>1737</v>
      </c>
      <c r="Q95" s="11" t="s">
        <v>67</v>
      </c>
      <c r="R95" s="11" t="s">
        <v>1737</v>
      </c>
    </row>
    <row r="96" spans="1:18" x14ac:dyDescent="0.25">
      <c r="A96" s="6">
        <v>95</v>
      </c>
      <c r="B96" s="7" t="s">
        <v>558</v>
      </c>
      <c r="C96" s="7" t="s">
        <v>615</v>
      </c>
      <c r="D96" s="7" t="s">
        <v>560</v>
      </c>
      <c r="E96" s="13" t="s">
        <v>78</v>
      </c>
      <c r="F96" s="7" t="s">
        <v>616</v>
      </c>
      <c r="G96" s="7" t="s">
        <v>617</v>
      </c>
      <c r="H96" s="7" t="s">
        <v>618</v>
      </c>
      <c r="I96" s="7" t="s">
        <v>619</v>
      </c>
      <c r="J96" s="7" t="s">
        <v>65</v>
      </c>
      <c r="K96" s="7" t="s">
        <v>66</v>
      </c>
      <c r="L96" s="12" t="s">
        <v>75</v>
      </c>
      <c r="M96" s="7" t="s">
        <v>68</v>
      </c>
      <c r="N96" s="7" t="s">
        <v>68</v>
      </c>
      <c r="O96" s="7" t="s">
        <v>620</v>
      </c>
      <c r="P96" s="7" t="s">
        <v>1737</v>
      </c>
      <c r="Q96" s="7" t="s">
        <v>75</v>
      </c>
      <c r="R96" s="7" t="s">
        <v>1737</v>
      </c>
    </row>
    <row r="97" spans="1:18" x14ac:dyDescent="0.25">
      <c r="A97" s="10">
        <v>96</v>
      </c>
      <c r="B97" s="11" t="s">
        <v>558</v>
      </c>
      <c r="C97" s="11" t="s">
        <v>621</v>
      </c>
      <c r="D97" s="11" t="s">
        <v>622</v>
      </c>
      <c r="E97" s="13" t="s">
        <v>78</v>
      </c>
      <c r="F97" s="11" t="s">
        <v>623</v>
      </c>
      <c r="G97" s="11" t="s">
        <v>624</v>
      </c>
      <c r="H97" s="11" t="s">
        <v>625</v>
      </c>
      <c r="I97" s="11" t="s">
        <v>626</v>
      </c>
      <c r="J97" s="11" t="s">
        <v>65</v>
      </c>
      <c r="K97" s="11" t="s">
        <v>66</v>
      </c>
      <c r="L97" s="12" t="s">
        <v>75</v>
      </c>
      <c r="M97" s="11" t="s">
        <v>68</v>
      </c>
      <c r="N97" s="11" t="s">
        <v>68</v>
      </c>
      <c r="O97" s="11" t="s">
        <v>627</v>
      </c>
      <c r="P97" s="11" t="s">
        <v>1737</v>
      </c>
      <c r="Q97" s="11" t="s">
        <v>67</v>
      </c>
      <c r="R97" s="11" t="s">
        <v>1739</v>
      </c>
    </row>
    <row r="98" spans="1:18" x14ac:dyDescent="0.25">
      <c r="A98" s="6">
        <v>97</v>
      </c>
      <c r="B98" s="7" t="s">
        <v>558</v>
      </c>
      <c r="C98" s="7" t="s">
        <v>628</v>
      </c>
      <c r="D98" s="7" t="s">
        <v>622</v>
      </c>
      <c r="E98" s="8" t="s">
        <v>60</v>
      </c>
      <c r="F98" s="7" t="s">
        <v>629</v>
      </c>
      <c r="G98" s="7" t="s">
        <v>630</v>
      </c>
      <c r="H98" s="7" t="s">
        <v>631</v>
      </c>
      <c r="I98" s="7" t="s">
        <v>632</v>
      </c>
      <c r="J98" s="7" t="s">
        <v>65</v>
      </c>
      <c r="K98" s="7" t="s">
        <v>66</v>
      </c>
      <c r="L98" s="9" t="s">
        <v>67</v>
      </c>
      <c r="M98" s="7" t="s">
        <v>68</v>
      </c>
      <c r="N98" s="7" t="s">
        <v>68</v>
      </c>
      <c r="O98" s="7" t="s">
        <v>633</v>
      </c>
      <c r="P98" s="7" t="s">
        <v>1738</v>
      </c>
      <c r="R98" s="7" t="s">
        <v>171</v>
      </c>
    </row>
    <row r="99" spans="1:18" x14ac:dyDescent="0.25">
      <c r="A99" s="10">
        <v>98</v>
      </c>
      <c r="B99" s="11" t="s">
        <v>558</v>
      </c>
      <c r="C99" s="11" t="s">
        <v>634</v>
      </c>
      <c r="D99" s="11" t="s">
        <v>622</v>
      </c>
      <c r="E99" s="13" t="s">
        <v>78</v>
      </c>
      <c r="F99" s="11" t="s">
        <v>635</v>
      </c>
      <c r="G99" s="11" t="s">
        <v>636</v>
      </c>
      <c r="H99" s="11" t="s">
        <v>637</v>
      </c>
      <c r="I99" s="11" t="s">
        <v>638</v>
      </c>
      <c r="J99" s="11" t="s">
        <v>65</v>
      </c>
      <c r="K99" s="11" t="s">
        <v>66</v>
      </c>
      <c r="L99" s="9" t="s">
        <v>67</v>
      </c>
      <c r="M99" s="11" t="s">
        <v>68</v>
      </c>
      <c r="N99" s="11" t="s">
        <v>68</v>
      </c>
      <c r="O99" s="11" t="s">
        <v>639</v>
      </c>
      <c r="P99" s="11" t="s">
        <v>1737</v>
      </c>
      <c r="Q99" s="11" t="s">
        <v>67</v>
      </c>
      <c r="R99" s="11" t="s">
        <v>1737</v>
      </c>
    </row>
    <row r="100" spans="1:18" x14ac:dyDescent="0.25">
      <c r="A100" s="6">
        <v>99</v>
      </c>
      <c r="B100" s="7" t="s">
        <v>558</v>
      </c>
      <c r="C100" s="7" t="s">
        <v>640</v>
      </c>
      <c r="D100" s="7" t="s">
        <v>622</v>
      </c>
      <c r="E100" s="13" t="s">
        <v>78</v>
      </c>
      <c r="F100" s="7" t="s">
        <v>641</v>
      </c>
      <c r="G100" s="7" t="s">
        <v>642</v>
      </c>
      <c r="H100" s="7" t="s">
        <v>643</v>
      </c>
      <c r="I100" s="7" t="s">
        <v>644</v>
      </c>
      <c r="J100" s="7" t="s">
        <v>65</v>
      </c>
      <c r="K100" s="7" t="s">
        <v>66</v>
      </c>
      <c r="L100" s="9" t="s">
        <v>67</v>
      </c>
      <c r="M100" s="7" t="s">
        <v>68</v>
      </c>
      <c r="N100" s="7" t="s">
        <v>68</v>
      </c>
      <c r="O100" s="7" t="s">
        <v>645</v>
      </c>
      <c r="P100" s="7" t="s">
        <v>1737</v>
      </c>
      <c r="Q100" s="7" t="s">
        <v>67</v>
      </c>
      <c r="R100" s="7" t="s">
        <v>1737</v>
      </c>
    </row>
    <row r="101" spans="1:18" x14ac:dyDescent="0.25">
      <c r="A101" s="10">
        <v>100</v>
      </c>
      <c r="B101" s="11" t="s">
        <v>558</v>
      </c>
      <c r="C101" s="11" t="s">
        <v>646</v>
      </c>
      <c r="D101" s="11" t="s">
        <v>622</v>
      </c>
      <c r="E101" s="13" t="s">
        <v>78</v>
      </c>
      <c r="F101" s="11" t="s">
        <v>647</v>
      </c>
      <c r="G101" s="11" t="s">
        <v>648</v>
      </c>
      <c r="H101" s="11" t="s">
        <v>649</v>
      </c>
      <c r="I101" s="11" t="s">
        <v>650</v>
      </c>
      <c r="J101" s="11" t="s">
        <v>65</v>
      </c>
      <c r="K101" s="11" t="s">
        <v>91</v>
      </c>
      <c r="L101" s="9" t="s">
        <v>67</v>
      </c>
      <c r="M101" s="11" t="s">
        <v>68</v>
      </c>
      <c r="N101" s="11" t="s">
        <v>68</v>
      </c>
      <c r="O101" s="11" t="s">
        <v>651</v>
      </c>
      <c r="P101" s="11" t="s">
        <v>1737</v>
      </c>
      <c r="Q101" s="11" t="s">
        <v>67</v>
      </c>
      <c r="R101" s="11" t="s">
        <v>1737</v>
      </c>
    </row>
    <row r="102" spans="1:18" x14ac:dyDescent="0.25">
      <c r="A102" s="6">
        <v>101</v>
      </c>
      <c r="B102" s="7" t="s">
        <v>558</v>
      </c>
      <c r="C102" s="7" t="s">
        <v>652</v>
      </c>
      <c r="D102" s="7" t="s">
        <v>622</v>
      </c>
      <c r="E102" s="13" t="s">
        <v>78</v>
      </c>
      <c r="F102" s="7" t="s">
        <v>653</v>
      </c>
      <c r="G102" s="7" t="s">
        <v>654</v>
      </c>
      <c r="H102" s="7" t="s">
        <v>655</v>
      </c>
      <c r="I102" s="7" t="s">
        <v>656</v>
      </c>
      <c r="J102" s="7" t="s">
        <v>65</v>
      </c>
      <c r="K102" s="7" t="s">
        <v>91</v>
      </c>
      <c r="L102" s="9" t="s">
        <v>67</v>
      </c>
      <c r="M102" s="7" t="s">
        <v>68</v>
      </c>
      <c r="N102" s="7" t="s">
        <v>68</v>
      </c>
      <c r="O102" s="7" t="s">
        <v>657</v>
      </c>
      <c r="P102" s="7" t="s">
        <v>1737</v>
      </c>
      <c r="Q102" s="7" t="s">
        <v>67</v>
      </c>
      <c r="R102" s="7" t="s">
        <v>1737</v>
      </c>
    </row>
    <row r="103" spans="1:18" x14ac:dyDescent="0.25">
      <c r="A103" s="10">
        <v>102</v>
      </c>
      <c r="B103" s="11" t="s">
        <v>558</v>
      </c>
      <c r="C103" s="11" t="s">
        <v>658</v>
      </c>
      <c r="D103" s="11" t="s">
        <v>622</v>
      </c>
      <c r="E103" s="13" t="s">
        <v>78</v>
      </c>
      <c r="F103" s="11" t="s">
        <v>659</v>
      </c>
      <c r="G103" s="11" t="s">
        <v>660</v>
      </c>
      <c r="H103" s="11" t="s">
        <v>661</v>
      </c>
      <c r="I103" s="11" t="s">
        <v>662</v>
      </c>
      <c r="J103" s="11" t="s">
        <v>83</v>
      </c>
      <c r="K103" s="11" t="s">
        <v>91</v>
      </c>
      <c r="L103" s="9" t="s">
        <v>67</v>
      </c>
      <c r="M103" s="11" t="s">
        <v>68</v>
      </c>
      <c r="N103" s="11" t="s">
        <v>68</v>
      </c>
      <c r="O103" s="11" t="s">
        <v>663</v>
      </c>
      <c r="P103" s="11" t="s">
        <v>1737</v>
      </c>
      <c r="Q103" s="11" t="s">
        <v>67</v>
      </c>
      <c r="R103" s="11" t="s">
        <v>1737</v>
      </c>
    </row>
    <row r="104" spans="1:18" x14ac:dyDescent="0.25">
      <c r="A104" s="6">
        <v>103</v>
      </c>
      <c r="B104" s="7" t="s">
        <v>558</v>
      </c>
      <c r="C104" s="7" t="s">
        <v>664</v>
      </c>
      <c r="D104" s="7" t="s">
        <v>622</v>
      </c>
      <c r="E104" s="8" t="s">
        <v>60</v>
      </c>
      <c r="F104" s="7" t="s">
        <v>665</v>
      </c>
      <c r="G104" s="7" t="s">
        <v>666</v>
      </c>
      <c r="H104" s="7" t="s">
        <v>667</v>
      </c>
      <c r="I104" s="7" t="s">
        <v>668</v>
      </c>
      <c r="J104" s="7" t="s">
        <v>65</v>
      </c>
      <c r="K104" s="7" t="s">
        <v>66</v>
      </c>
      <c r="L104" s="12" t="s">
        <v>75</v>
      </c>
      <c r="M104" s="7" t="s">
        <v>68</v>
      </c>
      <c r="N104" s="7" t="s">
        <v>68</v>
      </c>
      <c r="O104" s="7" t="s">
        <v>669</v>
      </c>
      <c r="P104" s="7" t="s">
        <v>1737</v>
      </c>
      <c r="Q104" s="7" t="s">
        <v>67</v>
      </c>
      <c r="R104" s="7" t="s">
        <v>1739</v>
      </c>
    </row>
    <row r="105" spans="1:18" x14ac:dyDescent="0.25">
      <c r="A105" s="10">
        <v>104</v>
      </c>
      <c r="B105" s="11" t="s">
        <v>558</v>
      </c>
      <c r="C105" s="11" t="s">
        <v>670</v>
      </c>
      <c r="D105" s="11" t="s">
        <v>622</v>
      </c>
      <c r="E105" s="8" t="s">
        <v>60</v>
      </c>
      <c r="F105" s="11" t="s">
        <v>671</v>
      </c>
      <c r="G105" s="11" t="s">
        <v>672</v>
      </c>
      <c r="H105" s="11" t="s">
        <v>673</v>
      </c>
      <c r="I105" s="11" t="s">
        <v>674</v>
      </c>
      <c r="J105" s="11" t="s">
        <v>65</v>
      </c>
      <c r="K105" s="11" t="s">
        <v>66</v>
      </c>
      <c r="L105" s="12" t="s">
        <v>75</v>
      </c>
      <c r="M105" s="11" t="s">
        <v>68</v>
      </c>
      <c r="N105" s="11" t="s">
        <v>68</v>
      </c>
      <c r="O105" s="11" t="s">
        <v>675</v>
      </c>
      <c r="P105" s="11" t="s">
        <v>1737</v>
      </c>
      <c r="Q105" s="11" t="s">
        <v>67</v>
      </c>
      <c r="R105" s="11" t="s">
        <v>1739</v>
      </c>
    </row>
    <row r="106" spans="1:18" x14ac:dyDescent="0.25">
      <c r="A106" s="6">
        <v>105</v>
      </c>
      <c r="B106" s="7" t="s">
        <v>558</v>
      </c>
      <c r="C106" s="7" t="s">
        <v>676</v>
      </c>
      <c r="D106" s="7" t="s">
        <v>622</v>
      </c>
      <c r="E106" s="13" t="s">
        <v>78</v>
      </c>
      <c r="F106" s="7" t="s">
        <v>677</v>
      </c>
      <c r="G106" s="7" t="s">
        <v>678</v>
      </c>
      <c r="H106" s="7" t="s">
        <v>679</v>
      </c>
      <c r="I106" s="7" t="s">
        <v>680</v>
      </c>
      <c r="J106" s="7" t="s">
        <v>83</v>
      </c>
      <c r="K106" s="7" t="s">
        <v>91</v>
      </c>
      <c r="L106" s="12" t="s">
        <v>75</v>
      </c>
      <c r="M106" s="7" t="s">
        <v>68</v>
      </c>
      <c r="N106" s="7" t="s">
        <v>68</v>
      </c>
      <c r="O106" s="7" t="s">
        <v>681</v>
      </c>
      <c r="P106" s="7" t="s">
        <v>1737</v>
      </c>
      <c r="Q106" s="7" t="s">
        <v>67</v>
      </c>
      <c r="R106" s="7" t="s">
        <v>1739</v>
      </c>
    </row>
    <row r="107" spans="1:18" x14ac:dyDescent="0.25">
      <c r="A107" s="10">
        <v>106</v>
      </c>
      <c r="B107" s="11" t="s">
        <v>558</v>
      </c>
      <c r="C107" s="11" t="s">
        <v>682</v>
      </c>
      <c r="D107" s="11" t="s">
        <v>622</v>
      </c>
      <c r="E107" s="13" t="s">
        <v>78</v>
      </c>
      <c r="F107" s="11" t="s">
        <v>683</v>
      </c>
      <c r="G107" s="11" t="s">
        <v>684</v>
      </c>
      <c r="H107" s="11" t="s">
        <v>685</v>
      </c>
      <c r="I107" s="11" t="s">
        <v>686</v>
      </c>
      <c r="J107" s="11" t="s">
        <v>65</v>
      </c>
      <c r="K107" s="11" t="s">
        <v>687</v>
      </c>
      <c r="L107" s="12" t="s">
        <v>75</v>
      </c>
      <c r="M107" s="11" t="s">
        <v>68</v>
      </c>
      <c r="N107" s="11" t="s">
        <v>68</v>
      </c>
      <c r="O107" s="11" t="s">
        <v>688</v>
      </c>
      <c r="P107" s="11" t="s">
        <v>1737</v>
      </c>
      <c r="Q107" s="11" t="s">
        <v>67</v>
      </c>
      <c r="R107" s="11" t="s">
        <v>1739</v>
      </c>
    </row>
    <row r="108" spans="1:18" x14ac:dyDescent="0.25">
      <c r="A108" s="6">
        <v>107</v>
      </c>
      <c r="B108" s="7" t="s">
        <v>558</v>
      </c>
      <c r="C108" s="7" t="s">
        <v>689</v>
      </c>
      <c r="D108" s="7" t="s">
        <v>622</v>
      </c>
      <c r="E108" s="13" t="s">
        <v>78</v>
      </c>
      <c r="F108" s="7" t="s">
        <v>690</v>
      </c>
      <c r="G108" s="7" t="s">
        <v>691</v>
      </c>
      <c r="H108" s="7" t="s">
        <v>692</v>
      </c>
      <c r="I108" s="7" t="s">
        <v>693</v>
      </c>
      <c r="J108" s="7" t="s">
        <v>65</v>
      </c>
      <c r="K108" s="7" t="s">
        <v>66</v>
      </c>
      <c r="L108" s="9" t="s">
        <v>67</v>
      </c>
      <c r="M108" s="7" t="s">
        <v>68</v>
      </c>
      <c r="N108" s="7" t="s">
        <v>68</v>
      </c>
      <c r="O108" s="7" t="s">
        <v>694</v>
      </c>
      <c r="P108" s="7" t="s">
        <v>1737</v>
      </c>
      <c r="Q108" s="7" t="s">
        <v>67</v>
      </c>
      <c r="R108" s="7" t="s">
        <v>1737</v>
      </c>
    </row>
    <row r="109" spans="1:18" x14ac:dyDescent="0.25">
      <c r="A109" s="10">
        <v>108</v>
      </c>
      <c r="B109" s="11" t="s">
        <v>558</v>
      </c>
      <c r="C109" s="11" t="s">
        <v>695</v>
      </c>
      <c r="D109" s="11" t="s">
        <v>622</v>
      </c>
      <c r="E109" s="13" t="s">
        <v>78</v>
      </c>
      <c r="F109" s="11" t="s">
        <v>696</v>
      </c>
      <c r="G109" s="11" t="s">
        <v>697</v>
      </c>
      <c r="H109" s="11" t="s">
        <v>698</v>
      </c>
      <c r="I109" s="11" t="s">
        <v>699</v>
      </c>
      <c r="J109" s="11" t="s">
        <v>65</v>
      </c>
      <c r="K109" s="11" t="s">
        <v>66</v>
      </c>
      <c r="L109" s="12" t="s">
        <v>75</v>
      </c>
      <c r="M109" s="11" t="s">
        <v>68</v>
      </c>
      <c r="N109" s="11" t="s">
        <v>68</v>
      </c>
      <c r="O109" s="11" t="s">
        <v>700</v>
      </c>
      <c r="P109" s="11" t="s">
        <v>1737</v>
      </c>
      <c r="Q109" s="11" t="s">
        <v>67</v>
      </c>
      <c r="R109" s="11" t="s">
        <v>1739</v>
      </c>
    </row>
    <row r="110" spans="1:18" x14ac:dyDescent="0.25">
      <c r="A110" s="6">
        <v>109</v>
      </c>
      <c r="B110" s="7" t="s">
        <v>558</v>
      </c>
      <c r="C110" s="7" t="s">
        <v>701</v>
      </c>
      <c r="D110" s="7" t="s">
        <v>622</v>
      </c>
      <c r="E110" s="13" t="s">
        <v>78</v>
      </c>
      <c r="F110" s="7" t="s">
        <v>702</v>
      </c>
      <c r="G110" s="7" t="s">
        <v>703</v>
      </c>
      <c r="H110" s="7" t="s">
        <v>704</v>
      </c>
      <c r="I110" s="7" t="s">
        <v>705</v>
      </c>
      <c r="J110" s="7" t="s">
        <v>83</v>
      </c>
      <c r="K110" s="7" t="s">
        <v>66</v>
      </c>
      <c r="L110" s="9" t="s">
        <v>67</v>
      </c>
      <c r="M110" s="7" t="s">
        <v>68</v>
      </c>
      <c r="N110" s="7" t="s">
        <v>68</v>
      </c>
      <c r="O110" s="7" t="s">
        <v>706</v>
      </c>
      <c r="P110" s="7" t="s">
        <v>1737</v>
      </c>
      <c r="Q110" s="7" t="s">
        <v>67</v>
      </c>
      <c r="R110" s="7" t="s">
        <v>1737</v>
      </c>
    </row>
    <row r="111" spans="1:18" x14ac:dyDescent="0.25">
      <c r="A111" s="10">
        <v>110</v>
      </c>
      <c r="B111" s="11" t="s">
        <v>558</v>
      </c>
      <c r="C111" s="11" t="s">
        <v>707</v>
      </c>
      <c r="D111" s="11" t="s">
        <v>622</v>
      </c>
      <c r="E111" s="13" t="s">
        <v>78</v>
      </c>
      <c r="F111" s="11" t="s">
        <v>708</v>
      </c>
      <c r="G111" s="11" t="s">
        <v>709</v>
      </c>
      <c r="H111" s="11" t="s">
        <v>710</v>
      </c>
      <c r="I111" s="11" t="s">
        <v>711</v>
      </c>
      <c r="J111" s="11" t="s">
        <v>83</v>
      </c>
      <c r="K111" s="11" t="s">
        <v>66</v>
      </c>
      <c r="L111" s="9" t="s">
        <v>67</v>
      </c>
      <c r="M111" s="11" t="s">
        <v>68</v>
      </c>
      <c r="N111" s="11" t="s">
        <v>68</v>
      </c>
      <c r="O111" s="11" t="s">
        <v>712</v>
      </c>
      <c r="P111" s="11" t="s">
        <v>1737</v>
      </c>
      <c r="Q111" s="11" t="s">
        <v>67</v>
      </c>
      <c r="R111" s="11" t="s">
        <v>1737</v>
      </c>
    </row>
    <row r="112" spans="1:18" x14ac:dyDescent="0.25">
      <c r="A112" s="6">
        <v>111</v>
      </c>
      <c r="B112" s="7" t="s">
        <v>558</v>
      </c>
      <c r="C112" s="7" t="s">
        <v>713</v>
      </c>
      <c r="D112" s="7" t="s">
        <v>622</v>
      </c>
      <c r="E112" s="15" t="s">
        <v>714</v>
      </c>
      <c r="F112" s="7" t="s">
        <v>715</v>
      </c>
      <c r="G112" s="7" t="s">
        <v>716</v>
      </c>
      <c r="H112" s="7" t="s">
        <v>717</v>
      </c>
      <c r="I112" s="7" t="s">
        <v>718</v>
      </c>
      <c r="J112" s="7" t="s">
        <v>65</v>
      </c>
      <c r="K112" s="7" t="s">
        <v>66</v>
      </c>
      <c r="L112" s="9" t="s">
        <v>67</v>
      </c>
      <c r="M112" s="7" t="s">
        <v>68</v>
      </c>
      <c r="N112" s="7" t="s">
        <v>68</v>
      </c>
      <c r="O112" s="7" t="s">
        <v>719</v>
      </c>
      <c r="P112" s="7" t="s">
        <v>1737</v>
      </c>
      <c r="Q112" s="7" t="s">
        <v>67</v>
      </c>
      <c r="R112" s="7" t="s">
        <v>1737</v>
      </c>
    </row>
    <row r="113" spans="1:18" x14ac:dyDescent="0.25">
      <c r="A113" s="10">
        <v>112</v>
      </c>
      <c r="B113" s="11" t="s">
        <v>558</v>
      </c>
      <c r="C113" s="11" t="s">
        <v>720</v>
      </c>
      <c r="D113" s="11" t="s">
        <v>622</v>
      </c>
      <c r="E113" s="13" t="s">
        <v>78</v>
      </c>
      <c r="F113" s="11" t="s">
        <v>721</v>
      </c>
      <c r="G113" s="11" t="s">
        <v>722</v>
      </c>
      <c r="H113" s="11" t="s">
        <v>723</v>
      </c>
      <c r="I113" s="11" t="s">
        <v>724</v>
      </c>
      <c r="J113" s="11" t="s">
        <v>83</v>
      </c>
      <c r="K113" s="11" t="s">
        <v>544</v>
      </c>
      <c r="L113" s="9" t="s">
        <v>67</v>
      </c>
      <c r="M113" s="11" t="s">
        <v>68</v>
      </c>
      <c r="N113" s="11" t="s">
        <v>68</v>
      </c>
      <c r="O113" s="11" t="s">
        <v>725</v>
      </c>
      <c r="P113" s="11" t="s">
        <v>1737</v>
      </c>
      <c r="Q113" s="11" t="s">
        <v>67</v>
      </c>
      <c r="R113" s="11" t="s">
        <v>1737</v>
      </c>
    </row>
    <row r="114" spans="1:18" x14ac:dyDescent="0.25">
      <c r="A114" s="6">
        <v>113</v>
      </c>
      <c r="B114" s="7" t="s">
        <v>558</v>
      </c>
      <c r="C114" s="7" t="s">
        <v>726</v>
      </c>
      <c r="D114" s="7" t="s">
        <v>727</v>
      </c>
      <c r="E114" s="13" t="s">
        <v>78</v>
      </c>
      <c r="F114" s="7" t="s">
        <v>728</v>
      </c>
      <c r="G114" s="7" t="s">
        <v>729</v>
      </c>
      <c r="H114" s="7" t="s">
        <v>730</v>
      </c>
      <c r="I114" s="7" t="s">
        <v>731</v>
      </c>
      <c r="J114" s="7" t="s">
        <v>65</v>
      </c>
      <c r="K114" s="7" t="s">
        <v>66</v>
      </c>
      <c r="L114" s="12" t="s">
        <v>75</v>
      </c>
      <c r="M114" s="7" t="s">
        <v>68</v>
      </c>
      <c r="N114" s="7" t="s">
        <v>68</v>
      </c>
      <c r="O114" s="7" t="s">
        <v>732</v>
      </c>
      <c r="P114" s="7" t="s">
        <v>1737</v>
      </c>
      <c r="Q114" s="7" t="s">
        <v>75</v>
      </c>
      <c r="R114" s="7" t="s">
        <v>1737</v>
      </c>
    </row>
    <row r="115" spans="1:18" x14ac:dyDescent="0.25">
      <c r="A115" s="10">
        <v>114</v>
      </c>
      <c r="B115" s="11" t="s">
        <v>558</v>
      </c>
      <c r="C115" s="11" t="s">
        <v>733</v>
      </c>
      <c r="D115" s="11" t="s">
        <v>727</v>
      </c>
      <c r="E115" s="15" t="s">
        <v>714</v>
      </c>
      <c r="F115" s="11" t="s">
        <v>734</v>
      </c>
      <c r="G115" s="11" t="s">
        <v>171</v>
      </c>
      <c r="H115" s="11" t="s">
        <v>735</v>
      </c>
      <c r="I115" s="11" t="s">
        <v>736</v>
      </c>
      <c r="J115" s="11" t="s">
        <v>65</v>
      </c>
      <c r="K115" s="11" t="s">
        <v>66</v>
      </c>
      <c r="L115" s="9" t="s">
        <v>67</v>
      </c>
      <c r="M115" s="11" t="s">
        <v>68</v>
      </c>
      <c r="N115" s="11" t="s">
        <v>68</v>
      </c>
      <c r="O115" s="11" t="s">
        <v>719</v>
      </c>
      <c r="P115" s="11" t="s">
        <v>1737</v>
      </c>
      <c r="Q115" s="11" t="s">
        <v>67</v>
      </c>
      <c r="R115" s="11" t="s">
        <v>1737</v>
      </c>
    </row>
    <row r="116" spans="1:18" x14ac:dyDescent="0.25">
      <c r="A116" s="6">
        <v>115</v>
      </c>
      <c r="B116" s="7" t="s">
        <v>558</v>
      </c>
      <c r="C116" s="7" t="s">
        <v>737</v>
      </c>
      <c r="D116" s="7" t="s">
        <v>727</v>
      </c>
      <c r="E116" s="15" t="s">
        <v>714</v>
      </c>
      <c r="F116" s="7" t="s">
        <v>738</v>
      </c>
      <c r="G116" s="7" t="s">
        <v>739</v>
      </c>
      <c r="H116" s="7" t="s">
        <v>740</v>
      </c>
      <c r="I116" s="7" t="s">
        <v>741</v>
      </c>
      <c r="J116" s="7" t="s">
        <v>65</v>
      </c>
      <c r="K116" s="7" t="s">
        <v>66</v>
      </c>
      <c r="L116" s="9" t="s">
        <v>67</v>
      </c>
      <c r="M116" s="7" t="s">
        <v>68</v>
      </c>
      <c r="N116" s="7" t="s">
        <v>68</v>
      </c>
      <c r="O116" s="7" t="s">
        <v>719</v>
      </c>
      <c r="P116" s="7" t="s">
        <v>1737</v>
      </c>
      <c r="Q116" s="7" t="s">
        <v>67</v>
      </c>
      <c r="R116" s="7" t="s">
        <v>1737</v>
      </c>
    </row>
    <row r="117" spans="1:18" x14ac:dyDescent="0.25">
      <c r="A117" s="10">
        <v>116</v>
      </c>
      <c r="B117" s="11" t="s">
        <v>558</v>
      </c>
      <c r="C117" s="11" t="s">
        <v>742</v>
      </c>
      <c r="D117" s="11" t="s">
        <v>727</v>
      </c>
      <c r="E117" s="13" t="s">
        <v>78</v>
      </c>
      <c r="F117" s="11" t="s">
        <v>743</v>
      </c>
      <c r="G117" s="11" t="s">
        <v>744</v>
      </c>
      <c r="H117" s="11" t="s">
        <v>745</v>
      </c>
      <c r="I117" s="11" t="s">
        <v>746</v>
      </c>
      <c r="J117" s="11" t="s">
        <v>65</v>
      </c>
      <c r="K117" s="11" t="s">
        <v>66</v>
      </c>
      <c r="L117" s="12" t="s">
        <v>75</v>
      </c>
      <c r="M117" s="11" t="s">
        <v>68</v>
      </c>
      <c r="N117" s="11" t="s">
        <v>68</v>
      </c>
      <c r="O117" s="11" t="s">
        <v>747</v>
      </c>
      <c r="P117" s="11" t="s">
        <v>1737</v>
      </c>
      <c r="Q117" s="11" t="s">
        <v>75</v>
      </c>
      <c r="R117" s="11" t="s">
        <v>1737</v>
      </c>
    </row>
    <row r="118" spans="1:18" x14ac:dyDescent="0.25">
      <c r="A118" s="6">
        <v>117</v>
      </c>
      <c r="B118" s="7" t="s">
        <v>558</v>
      </c>
      <c r="C118" s="7" t="s">
        <v>748</v>
      </c>
      <c r="D118" s="7" t="s">
        <v>727</v>
      </c>
      <c r="E118" s="15" t="s">
        <v>714</v>
      </c>
      <c r="F118" s="7" t="s">
        <v>749</v>
      </c>
      <c r="G118" s="7" t="s">
        <v>750</v>
      </c>
      <c r="H118" s="7" t="s">
        <v>751</v>
      </c>
      <c r="I118" s="7" t="s">
        <v>752</v>
      </c>
      <c r="J118" s="7" t="s">
        <v>65</v>
      </c>
      <c r="K118" s="7" t="s">
        <v>66</v>
      </c>
      <c r="L118" s="9" t="s">
        <v>67</v>
      </c>
      <c r="M118" s="7" t="s">
        <v>68</v>
      </c>
      <c r="N118" s="7" t="s">
        <v>68</v>
      </c>
      <c r="O118" s="7" t="s">
        <v>719</v>
      </c>
      <c r="P118" s="7" t="s">
        <v>1737</v>
      </c>
      <c r="Q118" s="7" t="s">
        <v>67</v>
      </c>
      <c r="R118" s="7" t="s">
        <v>1737</v>
      </c>
    </row>
    <row r="119" spans="1:18" x14ac:dyDescent="0.25">
      <c r="A119" s="10">
        <v>118</v>
      </c>
      <c r="B119" s="11" t="s">
        <v>558</v>
      </c>
      <c r="C119" s="11" t="s">
        <v>753</v>
      </c>
      <c r="D119" s="11" t="s">
        <v>727</v>
      </c>
      <c r="E119" s="15" t="s">
        <v>714</v>
      </c>
      <c r="F119" s="11" t="s">
        <v>754</v>
      </c>
      <c r="G119" s="11" t="s">
        <v>755</v>
      </c>
      <c r="H119" s="11" t="s">
        <v>756</v>
      </c>
      <c r="I119" s="11" t="s">
        <v>757</v>
      </c>
      <c r="J119" s="11" t="s">
        <v>65</v>
      </c>
      <c r="K119" s="11" t="s">
        <v>66</v>
      </c>
      <c r="L119" s="9" t="s">
        <v>67</v>
      </c>
      <c r="M119" s="11" t="s">
        <v>68</v>
      </c>
      <c r="N119" s="11" t="s">
        <v>68</v>
      </c>
      <c r="O119" s="11" t="s">
        <v>719</v>
      </c>
      <c r="P119" s="11" t="s">
        <v>1737</v>
      </c>
      <c r="Q119" s="11" t="s">
        <v>67</v>
      </c>
      <c r="R119" s="11" t="s">
        <v>1737</v>
      </c>
    </row>
    <row r="120" spans="1:18" x14ac:dyDescent="0.25">
      <c r="A120" s="6">
        <v>119</v>
      </c>
      <c r="B120" s="7" t="s">
        <v>558</v>
      </c>
      <c r="C120" s="7" t="s">
        <v>758</v>
      </c>
      <c r="D120" s="7" t="s">
        <v>727</v>
      </c>
      <c r="E120" s="13" t="s">
        <v>78</v>
      </c>
      <c r="F120" s="7" t="s">
        <v>759</v>
      </c>
      <c r="G120" s="7" t="s">
        <v>760</v>
      </c>
      <c r="H120" s="7" t="s">
        <v>761</v>
      </c>
      <c r="I120" s="7" t="s">
        <v>762</v>
      </c>
      <c r="J120" s="7" t="s">
        <v>65</v>
      </c>
      <c r="K120" s="7" t="s">
        <v>66</v>
      </c>
      <c r="L120" s="12" t="s">
        <v>75</v>
      </c>
      <c r="M120" s="7" t="s">
        <v>68</v>
      </c>
      <c r="N120" s="7" t="s">
        <v>68</v>
      </c>
      <c r="O120" s="7" t="s">
        <v>763</v>
      </c>
      <c r="P120" s="7" t="s">
        <v>1737</v>
      </c>
      <c r="Q120" s="7" t="s">
        <v>75</v>
      </c>
      <c r="R120" s="7" t="s">
        <v>1737</v>
      </c>
    </row>
    <row r="121" spans="1:18" x14ac:dyDescent="0.25">
      <c r="A121" s="10">
        <v>120</v>
      </c>
      <c r="B121" s="11" t="s">
        <v>558</v>
      </c>
      <c r="C121" s="11" t="s">
        <v>764</v>
      </c>
      <c r="D121" s="11" t="s">
        <v>727</v>
      </c>
      <c r="E121" s="15" t="s">
        <v>714</v>
      </c>
      <c r="F121" s="11" t="s">
        <v>765</v>
      </c>
      <c r="G121" s="11" t="s">
        <v>766</v>
      </c>
      <c r="H121" s="11" t="s">
        <v>767</v>
      </c>
      <c r="I121" s="11" t="s">
        <v>768</v>
      </c>
      <c r="J121" s="11" t="s">
        <v>65</v>
      </c>
      <c r="K121" s="11" t="s">
        <v>66</v>
      </c>
      <c r="L121" s="9" t="s">
        <v>67</v>
      </c>
      <c r="M121" s="11" t="s">
        <v>68</v>
      </c>
      <c r="N121" s="11" t="s">
        <v>68</v>
      </c>
      <c r="O121" s="11" t="s">
        <v>719</v>
      </c>
      <c r="P121" s="11" t="s">
        <v>1737</v>
      </c>
      <c r="Q121" s="11" t="s">
        <v>67</v>
      </c>
      <c r="R121" s="11" t="s">
        <v>1737</v>
      </c>
    </row>
    <row r="122" spans="1:18" x14ac:dyDescent="0.25">
      <c r="A122" s="6">
        <v>121</v>
      </c>
      <c r="B122" s="7" t="s">
        <v>558</v>
      </c>
      <c r="C122" s="7" t="s">
        <v>769</v>
      </c>
      <c r="D122" s="7" t="s">
        <v>727</v>
      </c>
      <c r="E122" s="13" t="s">
        <v>78</v>
      </c>
      <c r="F122" s="7" t="s">
        <v>770</v>
      </c>
      <c r="G122" s="7" t="s">
        <v>771</v>
      </c>
      <c r="H122" s="7" t="s">
        <v>772</v>
      </c>
      <c r="I122" s="7" t="s">
        <v>773</v>
      </c>
      <c r="J122" s="7" t="s">
        <v>65</v>
      </c>
      <c r="K122" s="7" t="s">
        <v>66</v>
      </c>
      <c r="L122" s="12" t="s">
        <v>75</v>
      </c>
      <c r="M122" s="7" t="s">
        <v>68</v>
      </c>
      <c r="N122" s="7" t="s">
        <v>68</v>
      </c>
      <c r="O122" s="7" t="s">
        <v>774</v>
      </c>
      <c r="P122" s="7" t="s">
        <v>1737</v>
      </c>
      <c r="Q122" s="7" t="s">
        <v>75</v>
      </c>
      <c r="R122" s="7" t="s">
        <v>1737</v>
      </c>
    </row>
    <row r="123" spans="1:18" x14ac:dyDescent="0.25">
      <c r="A123" s="10">
        <v>122</v>
      </c>
      <c r="B123" s="11" t="s">
        <v>558</v>
      </c>
      <c r="C123" s="11" t="s">
        <v>775</v>
      </c>
      <c r="D123" s="11" t="s">
        <v>727</v>
      </c>
      <c r="E123" s="15" t="s">
        <v>714</v>
      </c>
      <c r="F123" s="11" t="s">
        <v>776</v>
      </c>
      <c r="G123" s="11" t="s">
        <v>777</v>
      </c>
      <c r="H123" s="11" t="s">
        <v>778</v>
      </c>
      <c r="I123" s="11" t="s">
        <v>779</v>
      </c>
      <c r="J123" s="11" t="s">
        <v>65</v>
      </c>
      <c r="K123" s="11" t="s">
        <v>687</v>
      </c>
      <c r="L123" s="9" t="s">
        <v>67</v>
      </c>
      <c r="M123" s="11" t="s">
        <v>68</v>
      </c>
      <c r="N123" s="11" t="s">
        <v>68</v>
      </c>
      <c r="O123" s="11" t="s">
        <v>719</v>
      </c>
      <c r="P123" s="11" t="s">
        <v>1737</v>
      </c>
      <c r="Q123" s="11" t="s">
        <v>67</v>
      </c>
      <c r="R123" s="11" t="s">
        <v>1737</v>
      </c>
    </row>
    <row r="124" spans="1:18" x14ac:dyDescent="0.25">
      <c r="A124" s="6">
        <v>123</v>
      </c>
      <c r="B124" s="7" t="s">
        <v>558</v>
      </c>
      <c r="C124" s="7" t="s">
        <v>780</v>
      </c>
      <c r="D124" s="7" t="s">
        <v>727</v>
      </c>
      <c r="E124" s="15" t="s">
        <v>714</v>
      </c>
      <c r="F124" s="7" t="s">
        <v>781</v>
      </c>
      <c r="G124" s="7" t="s">
        <v>782</v>
      </c>
      <c r="H124" s="7" t="s">
        <v>783</v>
      </c>
      <c r="I124" s="7" t="s">
        <v>784</v>
      </c>
      <c r="J124" s="7" t="s">
        <v>65</v>
      </c>
      <c r="K124" s="7" t="s">
        <v>687</v>
      </c>
      <c r="L124" s="9" t="s">
        <v>67</v>
      </c>
      <c r="M124" s="7" t="s">
        <v>68</v>
      </c>
      <c r="N124" s="7" t="s">
        <v>68</v>
      </c>
      <c r="O124" s="7" t="s">
        <v>719</v>
      </c>
      <c r="P124" s="7" t="s">
        <v>1737</v>
      </c>
      <c r="Q124" s="7" t="s">
        <v>67</v>
      </c>
      <c r="R124" s="7" t="s">
        <v>1737</v>
      </c>
    </row>
    <row r="125" spans="1:18" x14ac:dyDescent="0.25">
      <c r="A125" s="10">
        <v>124</v>
      </c>
      <c r="B125" s="11" t="s">
        <v>558</v>
      </c>
      <c r="C125" s="11" t="s">
        <v>785</v>
      </c>
      <c r="D125" s="11" t="s">
        <v>727</v>
      </c>
      <c r="E125" s="15" t="s">
        <v>714</v>
      </c>
      <c r="F125" s="11" t="s">
        <v>786</v>
      </c>
      <c r="G125" s="11" t="s">
        <v>787</v>
      </c>
      <c r="H125" s="11" t="s">
        <v>788</v>
      </c>
      <c r="I125" s="11" t="s">
        <v>789</v>
      </c>
      <c r="J125" s="11" t="s">
        <v>65</v>
      </c>
      <c r="K125" s="11" t="s">
        <v>687</v>
      </c>
      <c r="L125" s="9" t="s">
        <v>67</v>
      </c>
      <c r="M125" s="11" t="s">
        <v>68</v>
      </c>
      <c r="N125" s="11" t="s">
        <v>68</v>
      </c>
      <c r="O125" s="11" t="s">
        <v>719</v>
      </c>
      <c r="P125" s="11" t="s">
        <v>1737</v>
      </c>
      <c r="Q125" s="11" t="s">
        <v>67</v>
      </c>
      <c r="R125" s="11" t="s">
        <v>1737</v>
      </c>
    </row>
    <row r="126" spans="1:18" x14ac:dyDescent="0.25">
      <c r="A126" s="6">
        <v>125</v>
      </c>
      <c r="B126" s="7" t="s">
        <v>558</v>
      </c>
      <c r="C126" s="7" t="s">
        <v>790</v>
      </c>
      <c r="D126" s="7" t="s">
        <v>727</v>
      </c>
      <c r="E126" s="15" t="s">
        <v>714</v>
      </c>
      <c r="F126" s="7" t="s">
        <v>791</v>
      </c>
      <c r="G126" s="7" t="s">
        <v>792</v>
      </c>
      <c r="H126" s="7" t="s">
        <v>793</v>
      </c>
      <c r="I126" s="7" t="s">
        <v>794</v>
      </c>
      <c r="J126" s="7" t="s">
        <v>65</v>
      </c>
      <c r="K126" s="7" t="s">
        <v>687</v>
      </c>
      <c r="L126" s="9" t="s">
        <v>67</v>
      </c>
      <c r="M126" s="7" t="s">
        <v>68</v>
      </c>
      <c r="N126" s="7" t="s">
        <v>68</v>
      </c>
      <c r="O126" s="7" t="s">
        <v>719</v>
      </c>
      <c r="P126" s="7" t="s">
        <v>1737</v>
      </c>
      <c r="Q126" s="7" t="s">
        <v>67</v>
      </c>
      <c r="R126" s="7" t="s">
        <v>1737</v>
      </c>
    </row>
    <row r="127" spans="1:18" x14ac:dyDescent="0.25">
      <c r="A127" s="10">
        <v>126</v>
      </c>
      <c r="B127" s="11" t="s">
        <v>558</v>
      </c>
      <c r="C127" s="11" t="s">
        <v>795</v>
      </c>
      <c r="D127" s="11" t="s">
        <v>727</v>
      </c>
      <c r="E127" s="15" t="s">
        <v>714</v>
      </c>
      <c r="F127" s="11" t="s">
        <v>796</v>
      </c>
      <c r="G127" s="11" t="s">
        <v>797</v>
      </c>
      <c r="H127" s="11" t="s">
        <v>798</v>
      </c>
      <c r="I127" s="11" t="s">
        <v>799</v>
      </c>
      <c r="J127" s="11" t="s">
        <v>65</v>
      </c>
      <c r="K127" s="11" t="s">
        <v>687</v>
      </c>
      <c r="L127" s="9" t="s">
        <v>67</v>
      </c>
      <c r="M127" s="11" t="s">
        <v>68</v>
      </c>
      <c r="N127" s="11" t="s">
        <v>68</v>
      </c>
      <c r="O127" s="11" t="s">
        <v>719</v>
      </c>
      <c r="P127" s="11" t="s">
        <v>1737</v>
      </c>
      <c r="Q127" s="11" t="s">
        <v>67</v>
      </c>
      <c r="R127" s="11" t="s">
        <v>1737</v>
      </c>
    </row>
    <row r="128" spans="1:18" x14ac:dyDescent="0.25">
      <c r="A128" s="6">
        <v>127</v>
      </c>
      <c r="B128" s="7" t="s">
        <v>558</v>
      </c>
      <c r="C128" s="7" t="s">
        <v>800</v>
      </c>
      <c r="D128" s="7" t="s">
        <v>727</v>
      </c>
      <c r="E128" s="13" t="s">
        <v>78</v>
      </c>
      <c r="F128" s="7" t="s">
        <v>801</v>
      </c>
      <c r="G128" s="7" t="s">
        <v>802</v>
      </c>
      <c r="H128" s="7" t="s">
        <v>803</v>
      </c>
      <c r="I128" s="7" t="s">
        <v>804</v>
      </c>
      <c r="J128" s="7" t="s">
        <v>83</v>
      </c>
      <c r="K128" s="7" t="s">
        <v>66</v>
      </c>
      <c r="L128" s="12" t="s">
        <v>75</v>
      </c>
      <c r="M128" s="7" t="s">
        <v>68</v>
      </c>
      <c r="N128" s="7" t="s">
        <v>68</v>
      </c>
      <c r="O128" s="7" t="s">
        <v>805</v>
      </c>
      <c r="P128" s="7" t="s">
        <v>1737</v>
      </c>
      <c r="Q128" s="7" t="s">
        <v>75</v>
      </c>
      <c r="R128" s="7" t="s">
        <v>1737</v>
      </c>
    </row>
    <row r="129" spans="1:18" x14ac:dyDescent="0.25">
      <c r="A129" s="10">
        <v>128</v>
      </c>
      <c r="B129" s="11" t="s">
        <v>558</v>
      </c>
      <c r="C129" s="11" t="s">
        <v>806</v>
      </c>
      <c r="D129" s="11" t="s">
        <v>727</v>
      </c>
      <c r="E129" s="15" t="s">
        <v>714</v>
      </c>
      <c r="F129" s="11" t="s">
        <v>807</v>
      </c>
      <c r="G129" s="11" t="s">
        <v>808</v>
      </c>
      <c r="H129" s="11" t="s">
        <v>809</v>
      </c>
      <c r="I129" s="11" t="s">
        <v>810</v>
      </c>
      <c r="J129" s="11" t="s">
        <v>65</v>
      </c>
      <c r="K129" s="11" t="s">
        <v>66</v>
      </c>
      <c r="L129" s="9" t="s">
        <v>67</v>
      </c>
      <c r="M129" s="11" t="s">
        <v>68</v>
      </c>
      <c r="N129" s="11" t="s">
        <v>68</v>
      </c>
      <c r="O129" s="11" t="s">
        <v>719</v>
      </c>
      <c r="P129" s="11" t="s">
        <v>1737</v>
      </c>
      <c r="Q129" s="11" t="s">
        <v>67</v>
      </c>
      <c r="R129" s="11" t="s">
        <v>1737</v>
      </c>
    </row>
    <row r="130" spans="1:18" x14ac:dyDescent="0.25">
      <c r="A130" s="6">
        <v>129</v>
      </c>
      <c r="B130" s="7" t="s">
        <v>558</v>
      </c>
      <c r="C130" s="7" t="s">
        <v>811</v>
      </c>
      <c r="D130" s="7" t="s">
        <v>727</v>
      </c>
      <c r="E130" s="15" t="s">
        <v>714</v>
      </c>
      <c r="F130" s="7" t="s">
        <v>812</v>
      </c>
      <c r="G130" s="7" t="s">
        <v>813</v>
      </c>
      <c r="H130" s="7" t="s">
        <v>809</v>
      </c>
      <c r="I130" s="7" t="s">
        <v>814</v>
      </c>
      <c r="J130" s="7" t="s">
        <v>65</v>
      </c>
      <c r="K130" s="7" t="s">
        <v>66</v>
      </c>
      <c r="L130" s="9" t="s">
        <v>67</v>
      </c>
      <c r="M130" s="7" t="s">
        <v>68</v>
      </c>
      <c r="N130" s="7" t="s">
        <v>68</v>
      </c>
      <c r="O130" s="7" t="s">
        <v>719</v>
      </c>
      <c r="P130" s="7" t="s">
        <v>1737</v>
      </c>
      <c r="Q130" s="7" t="s">
        <v>67</v>
      </c>
      <c r="R130" s="7" t="s">
        <v>1737</v>
      </c>
    </row>
    <row r="131" spans="1:18" x14ac:dyDescent="0.25">
      <c r="A131" s="10">
        <v>130</v>
      </c>
      <c r="B131" s="11" t="s">
        <v>558</v>
      </c>
      <c r="C131" s="11" t="s">
        <v>815</v>
      </c>
      <c r="D131" s="11" t="s">
        <v>727</v>
      </c>
      <c r="E131" s="13" t="s">
        <v>78</v>
      </c>
      <c r="F131" s="11" t="s">
        <v>816</v>
      </c>
      <c r="G131" s="11" t="s">
        <v>817</v>
      </c>
      <c r="H131" s="11" t="s">
        <v>818</v>
      </c>
      <c r="I131" s="11" t="s">
        <v>819</v>
      </c>
      <c r="J131" s="11" t="s">
        <v>65</v>
      </c>
      <c r="K131" s="11" t="s">
        <v>98</v>
      </c>
      <c r="L131" s="12" t="s">
        <v>75</v>
      </c>
      <c r="M131" s="11" t="s">
        <v>68</v>
      </c>
      <c r="N131" s="11" t="s">
        <v>68</v>
      </c>
      <c r="O131" s="11" t="s">
        <v>820</v>
      </c>
      <c r="P131" s="11" t="s">
        <v>1737</v>
      </c>
      <c r="Q131" s="11" t="s">
        <v>75</v>
      </c>
      <c r="R131" s="11" t="s">
        <v>1737</v>
      </c>
    </row>
    <row r="132" spans="1:18" x14ac:dyDescent="0.25">
      <c r="A132" s="6">
        <v>131</v>
      </c>
      <c r="B132" s="7" t="s">
        <v>558</v>
      </c>
      <c r="C132" s="7" t="s">
        <v>821</v>
      </c>
      <c r="D132" s="7" t="s">
        <v>727</v>
      </c>
      <c r="E132" s="15" t="s">
        <v>714</v>
      </c>
      <c r="F132" s="7" t="s">
        <v>822</v>
      </c>
      <c r="G132" s="7" t="s">
        <v>823</v>
      </c>
      <c r="H132" s="7" t="s">
        <v>809</v>
      </c>
      <c r="I132" s="7" t="s">
        <v>824</v>
      </c>
      <c r="J132" s="7" t="s">
        <v>83</v>
      </c>
      <c r="K132" s="7" t="s">
        <v>66</v>
      </c>
      <c r="L132" s="9" t="s">
        <v>67</v>
      </c>
      <c r="M132" s="7" t="s">
        <v>68</v>
      </c>
      <c r="N132" s="7" t="s">
        <v>68</v>
      </c>
      <c r="O132" s="7" t="s">
        <v>719</v>
      </c>
      <c r="P132" s="7" t="s">
        <v>1737</v>
      </c>
      <c r="Q132" s="7" t="s">
        <v>67</v>
      </c>
      <c r="R132" s="7" t="s">
        <v>1737</v>
      </c>
    </row>
    <row r="133" spans="1:18" x14ac:dyDescent="0.25">
      <c r="A133" s="10">
        <v>132</v>
      </c>
      <c r="B133" s="11" t="s">
        <v>558</v>
      </c>
      <c r="C133" s="11" t="s">
        <v>825</v>
      </c>
      <c r="D133" s="11" t="s">
        <v>727</v>
      </c>
      <c r="E133" s="15" t="s">
        <v>714</v>
      </c>
      <c r="F133" s="11" t="s">
        <v>826</v>
      </c>
      <c r="G133" s="11" t="s">
        <v>827</v>
      </c>
      <c r="H133" s="11" t="s">
        <v>809</v>
      </c>
      <c r="I133" s="11" t="s">
        <v>828</v>
      </c>
      <c r="J133" s="11" t="s">
        <v>65</v>
      </c>
      <c r="K133" s="11" t="s">
        <v>66</v>
      </c>
      <c r="L133" s="9" t="s">
        <v>67</v>
      </c>
      <c r="M133" s="11" t="s">
        <v>68</v>
      </c>
      <c r="N133" s="11" t="s">
        <v>68</v>
      </c>
      <c r="O133" s="11" t="s">
        <v>719</v>
      </c>
      <c r="P133" s="11" t="s">
        <v>1737</v>
      </c>
      <c r="Q133" s="11" t="s">
        <v>67</v>
      </c>
      <c r="R133" s="11" t="s">
        <v>1737</v>
      </c>
    </row>
    <row r="134" spans="1:18" x14ac:dyDescent="0.25">
      <c r="A134" s="6">
        <v>133</v>
      </c>
      <c r="B134" s="7" t="s">
        <v>558</v>
      </c>
      <c r="C134" s="7" t="s">
        <v>829</v>
      </c>
      <c r="D134" s="7" t="s">
        <v>727</v>
      </c>
      <c r="E134" s="13" t="s">
        <v>78</v>
      </c>
      <c r="F134" s="7" t="s">
        <v>830</v>
      </c>
      <c r="G134" s="7" t="s">
        <v>831</v>
      </c>
      <c r="H134" s="7" t="s">
        <v>832</v>
      </c>
      <c r="I134" s="7" t="s">
        <v>833</v>
      </c>
      <c r="J134" s="7" t="s">
        <v>65</v>
      </c>
      <c r="K134" s="7" t="s">
        <v>66</v>
      </c>
      <c r="L134" s="9" t="s">
        <v>67</v>
      </c>
      <c r="M134" s="7" t="s">
        <v>68</v>
      </c>
      <c r="N134" s="7" t="s">
        <v>68</v>
      </c>
      <c r="O134" s="7" t="s">
        <v>834</v>
      </c>
      <c r="P134" s="7" t="s">
        <v>1737</v>
      </c>
      <c r="Q134" s="7" t="s">
        <v>67</v>
      </c>
      <c r="R134" s="7" t="s">
        <v>1737</v>
      </c>
    </row>
    <row r="135" spans="1:18" x14ac:dyDescent="0.25">
      <c r="A135" s="10">
        <v>134</v>
      </c>
      <c r="B135" s="11" t="s">
        <v>558</v>
      </c>
      <c r="C135" s="11" t="s">
        <v>835</v>
      </c>
      <c r="D135" s="11" t="s">
        <v>836</v>
      </c>
      <c r="E135" s="13" t="s">
        <v>78</v>
      </c>
      <c r="F135" s="11" t="s">
        <v>837</v>
      </c>
      <c r="G135" s="11" t="s">
        <v>838</v>
      </c>
      <c r="H135" s="11" t="s">
        <v>839</v>
      </c>
      <c r="I135" s="11" t="s">
        <v>840</v>
      </c>
      <c r="J135" s="11" t="s">
        <v>65</v>
      </c>
      <c r="K135" s="11" t="s">
        <v>66</v>
      </c>
      <c r="L135" s="12" t="s">
        <v>75</v>
      </c>
      <c r="M135" s="11" t="s">
        <v>68</v>
      </c>
      <c r="N135" s="11" t="s">
        <v>68</v>
      </c>
      <c r="O135" s="11" t="s">
        <v>841</v>
      </c>
      <c r="P135" s="11" t="s">
        <v>1737</v>
      </c>
      <c r="Q135" s="11" t="s">
        <v>75</v>
      </c>
      <c r="R135" s="11" t="s">
        <v>1737</v>
      </c>
    </row>
    <row r="136" spans="1:18" x14ac:dyDescent="0.25">
      <c r="A136" s="6">
        <v>135</v>
      </c>
      <c r="B136" s="7" t="s">
        <v>558</v>
      </c>
      <c r="C136" s="7" t="s">
        <v>842</v>
      </c>
      <c r="D136" s="7" t="s">
        <v>836</v>
      </c>
      <c r="E136" s="8" t="s">
        <v>60</v>
      </c>
      <c r="F136" s="7" t="s">
        <v>843</v>
      </c>
      <c r="G136" s="7" t="s">
        <v>844</v>
      </c>
      <c r="H136" s="7" t="s">
        <v>845</v>
      </c>
      <c r="I136" s="7" t="s">
        <v>846</v>
      </c>
      <c r="J136" s="7" t="s">
        <v>83</v>
      </c>
      <c r="K136" s="7" t="s">
        <v>66</v>
      </c>
      <c r="L136" s="12" t="s">
        <v>75</v>
      </c>
      <c r="M136" s="7" t="s">
        <v>68</v>
      </c>
      <c r="N136" s="7" t="s">
        <v>68</v>
      </c>
      <c r="O136" s="7" t="s">
        <v>669</v>
      </c>
      <c r="P136" s="7" t="s">
        <v>1737</v>
      </c>
      <c r="Q136" s="7" t="s">
        <v>75</v>
      </c>
      <c r="R136" s="7" t="s">
        <v>1737</v>
      </c>
    </row>
    <row r="137" spans="1:18" x14ac:dyDescent="0.25">
      <c r="A137" s="10">
        <v>136</v>
      </c>
      <c r="B137" s="11" t="s">
        <v>558</v>
      </c>
      <c r="C137" s="11" t="s">
        <v>847</v>
      </c>
      <c r="D137" s="11" t="s">
        <v>836</v>
      </c>
      <c r="E137" s="15" t="s">
        <v>714</v>
      </c>
      <c r="F137" s="11" t="s">
        <v>848</v>
      </c>
      <c r="G137" s="11" t="s">
        <v>849</v>
      </c>
      <c r="H137" s="11" t="s">
        <v>850</v>
      </c>
      <c r="I137" s="11" t="s">
        <v>851</v>
      </c>
      <c r="J137" s="11" t="s">
        <v>65</v>
      </c>
      <c r="K137" s="11" t="s">
        <v>66</v>
      </c>
      <c r="L137" s="9" t="s">
        <v>67</v>
      </c>
      <c r="M137" s="11" t="s">
        <v>68</v>
      </c>
      <c r="N137" s="11" t="s">
        <v>68</v>
      </c>
      <c r="O137" s="11" t="s">
        <v>719</v>
      </c>
      <c r="P137" s="11" t="s">
        <v>1737</v>
      </c>
      <c r="Q137" s="11" t="s">
        <v>67</v>
      </c>
      <c r="R137" s="11" t="s">
        <v>1737</v>
      </c>
    </row>
    <row r="138" spans="1:18" x14ac:dyDescent="0.25">
      <c r="A138" s="6">
        <v>137</v>
      </c>
      <c r="B138" s="7" t="s">
        <v>558</v>
      </c>
      <c r="C138" s="7" t="s">
        <v>852</v>
      </c>
      <c r="D138" s="7" t="s">
        <v>836</v>
      </c>
      <c r="E138" s="15" t="s">
        <v>714</v>
      </c>
      <c r="F138" s="7" t="s">
        <v>853</v>
      </c>
      <c r="G138" s="7" t="s">
        <v>854</v>
      </c>
      <c r="H138" s="7" t="s">
        <v>855</v>
      </c>
      <c r="I138" s="7" t="s">
        <v>856</v>
      </c>
      <c r="J138" s="7" t="s">
        <v>65</v>
      </c>
      <c r="K138" s="7" t="s">
        <v>66</v>
      </c>
      <c r="L138" s="9" t="s">
        <v>67</v>
      </c>
      <c r="M138" s="7" t="s">
        <v>68</v>
      </c>
      <c r="N138" s="7" t="s">
        <v>68</v>
      </c>
      <c r="O138" s="7" t="s">
        <v>719</v>
      </c>
      <c r="P138" s="7" t="s">
        <v>1737</v>
      </c>
      <c r="Q138" s="7" t="s">
        <v>67</v>
      </c>
      <c r="R138" s="7" t="s">
        <v>1737</v>
      </c>
    </row>
    <row r="139" spans="1:18" x14ac:dyDescent="0.25">
      <c r="A139" s="10">
        <v>138</v>
      </c>
      <c r="B139" s="11" t="s">
        <v>558</v>
      </c>
      <c r="C139" s="11" t="s">
        <v>857</v>
      </c>
      <c r="D139" s="11" t="s">
        <v>836</v>
      </c>
      <c r="E139" s="15" t="s">
        <v>714</v>
      </c>
      <c r="F139" s="11" t="s">
        <v>858</v>
      </c>
      <c r="G139" s="11" t="s">
        <v>859</v>
      </c>
      <c r="H139" s="11" t="s">
        <v>809</v>
      </c>
      <c r="I139" s="11" t="s">
        <v>860</v>
      </c>
      <c r="J139" s="11" t="s">
        <v>65</v>
      </c>
      <c r="K139" s="11" t="s">
        <v>66</v>
      </c>
      <c r="L139" s="9" t="s">
        <v>67</v>
      </c>
      <c r="M139" s="11" t="s">
        <v>68</v>
      </c>
      <c r="N139" s="11" t="s">
        <v>68</v>
      </c>
      <c r="O139" s="11" t="s">
        <v>719</v>
      </c>
      <c r="P139" s="11" t="s">
        <v>1737</v>
      </c>
      <c r="Q139" s="11" t="s">
        <v>67</v>
      </c>
      <c r="R139" s="11" t="s">
        <v>1737</v>
      </c>
    </row>
    <row r="140" spans="1:18" x14ac:dyDescent="0.25">
      <c r="A140" s="6">
        <v>139</v>
      </c>
      <c r="B140" s="7" t="s">
        <v>558</v>
      </c>
      <c r="C140" s="7" t="s">
        <v>861</v>
      </c>
      <c r="D140" s="7" t="s">
        <v>836</v>
      </c>
      <c r="E140" s="15" t="s">
        <v>714</v>
      </c>
      <c r="F140" s="7" t="s">
        <v>862</v>
      </c>
      <c r="G140" s="7" t="s">
        <v>863</v>
      </c>
      <c r="H140" s="7" t="s">
        <v>864</v>
      </c>
      <c r="I140" s="7" t="s">
        <v>865</v>
      </c>
      <c r="J140" s="7" t="s">
        <v>65</v>
      </c>
      <c r="K140" s="7" t="s">
        <v>66</v>
      </c>
      <c r="L140" s="9" t="s">
        <v>67</v>
      </c>
      <c r="M140" s="7" t="s">
        <v>68</v>
      </c>
      <c r="N140" s="7" t="s">
        <v>68</v>
      </c>
      <c r="O140" s="7" t="s">
        <v>719</v>
      </c>
      <c r="P140" s="7" t="s">
        <v>1737</v>
      </c>
      <c r="Q140" s="7" t="s">
        <v>67</v>
      </c>
      <c r="R140" s="7" t="s">
        <v>1737</v>
      </c>
    </row>
    <row r="141" spans="1:18" x14ac:dyDescent="0.25">
      <c r="A141" s="10">
        <v>140</v>
      </c>
      <c r="B141" s="11" t="s">
        <v>558</v>
      </c>
      <c r="C141" s="11" t="s">
        <v>866</v>
      </c>
      <c r="D141" s="11" t="s">
        <v>836</v>
      </c>
      <c r="E141" s="15" t="s">
        <v>714</v>
      </c>
      <c r="F141" s="11" t="s">
        <v>867</v>
      </c>
      <c r="G141" s="11" t="s">
        <v>171</v>
      </c>
      <c r="H141" s="11" t="s">
        <v>809</v>
      </c>
      <c r="I141" s="11" t="s">
        <v>868</v>
      </c>
      <c r="J141" s="11" t="s">
        <v>83</v>
      </c>
      <c r="K141" s="11" t="s">
        <v>66</v>
      </c>
      <c r="L141" s="9" t="s">
        <v>67</v>
      </c>
      <c r="M141" s="11" t="s">
        <v>68</v>
      </c>
      <c r="N141" s="11" t="s">
        <v>68</v>
      </c>
      <c r="O141" s="11" t="s">
        <v>719</v>
      </c>
      <c r="P141" s="11" t="s">
        <v>1737</v>
      </c>
      <c r="Q141" s="11" t="s">
        <v>67</v>
      </c>
      <c r="R141" s="11" t="s">
        <v>1737</v>
      </c>
    </row>
    <row r="142" spans="1:18" x14ac:dyDescent="0.25">
      <c r="A142" s="6">
        <v>141</v>
      </c>
      <c r="B142" s="7" t="s">
        <v>558</v>
      </c>
      <c r="C142" s="7" t="s">
        <v>869</v>
      </c>
      <c r="D142" s="7" t="s">
        <v>836</v>
      </c>
      <c r="E142" s="15" t="s">
        <v>714</v>
      </c>
      <c r="F142" s="7" t="s">
        <v>870</v>
      </c>
      <c r="G142" s="7" t="s">
        <v>871</v>
      </c>
      <c r="H142" s="7" t="s">
        <v>809</v>
      </c>
      <c r="I142" s="7" t="s">
        <v>872</v>
      </c>
      <c r="J142" s="7" t="s">
        <v>83</v>
      </c>
      <c r="K142" s="7" t="s">
        <v>66</v>
      </c>
      <c r="L142" s="9" t="s">
        <v>67</v>
      </c>
      <c r="M142" s="7" t="s">
        <v>68</v>
      </c>
      <c r="N142" s="7" t="s">
        <v>68</v>
      </c>
      <c r="O142" s="7" t="s">
        <v>719</v>
      </c>
      <c r="P142" s="7" t="s">
        <v>1737</v>
      </c>
      <c r="Q142" s="7" t="s">
        <v>67</v>
      </c>
      <c r="R142" s="7" t="s">
        <v>1737</v>
      </c>
    </row>
    <row r="143" spans="1:18" x14ac:dyDescent="0.25">
      <c r="A143" s="10">
        <v>142</v>
      </c>
      <c r="B143" s="11" t="s">
        <v>558</v>
      </c>
      <c r="C143" s="11" t="s">
        <v>873</v>
      </c>
      <c r="D143" s="11" t="s">
        <v>836</v>
      </c>
      <c r="E143" s="15" t="s">
        <v>714</v>
      </c>
      <c r="F143" s="11" t="s">
        <v>874</v>
      </c>
      <c r="G143" s="11" t="s">
        <v>875</v>
      </c>
      <c r="H143" s="11" t="s">
        <v>855</v>
      </c>
      <c r="I143" s="11" t="s">
        <v>876</v>
      </c>
      <c r="J143" s="11" t="s">
        <v>65</v>
      </c>
      <c r="K143" s="11" t="s">
        <v>66</v>
      </c>
      <c r="L143" s="9" t="s">
        <v>67</v>
      </c>
      <c r="M143" s="11" t="s">
        <v>68</v>
      </c>
      <c r="N143" s="11" t="s">
        <v>68</v>
      </c>
      <c r="O143" s="11" t="s">
        <v>719</v>
      </c>
      <c r="P143" s="11" t="s">
        <v>1737</v>
      </c>
      <c r="Q143" s="11" t="s">
        <v>67</v>
      </c>
      <c r="R143" s="11" t="s">
        <v>1737</v>
      </c>
    </row>
    <row r="144" spans="1:18" x14ac:dyDescent="0.25">
      <c r="A144" s="6">
        <v>143</v>
      </c>
      <c r="B144" s="7" t="s">
        <v>558</v>
      </c>
      <c r="C144" s="7" t="s">
        <v>877</v>
      </c>
      <c r="D144" s="7" t="s">
        <v>836</v>
      </c>
      <c r="E144" s="15" t="s">
        <v>714</v>
      </c>
      <c r="F144" s="7" t="s">
        <v>878</v>
      </c>
      <c r="G144" s="7" t="s">
        <v>879</v>
      </c>
      <c r="H144" s="7" t="s">
        <v>880</v>
      </c>
      <c r="I144" s="7" t="s">
        <v>881</v>
      </c>
      <c r="J144" s="7" t="s">
        <v>83</v>
      </c>
      <c r="K144" s="7" t="s">
        <v>66</v>
      </c>
      <c r="L144" s="9" t="s">
        <v>67</v>
      </c>
      <c r="M144" s="7" t="s">
        <v>68</v>
      </c>
      <c r="N144" s="7" t="s">
        <v>68</v>
      </c>
      <c r="O144" s="7" t="s">
        <v>719</v>
      </c>
      <c r="P144" s="7" t="s">
        <v>1737</v>
      </c>
      <c r="Q144" s="7" t="s">
        <v>67</v>
      </c>
      <c r="R144" s="7" t="s">
        <v>1737</v>
      </c>
    </row>
    <row r="145" spans="1:18" x14ac:dyDescent="0.25">
      <c r="A145" s="10">
        <v>144</v>
      </c>
      <c r="B145" s="11" t="s">
        <v>558</v>
      </c>
      <c r="C145" s="11" t="s">
        <v>882</v>
      </c>
      <c r="D145" s="11" t="s">
        <v>883</v>
      </c>
      <c r="E145" s="13" t="s">
        <v>78</v>
      </c>
      <c r="F145" s="11" t="s">
        <v>884</v>
      </c>
      <c r="G145" s="11" t="s">
        <v>885</v>
      </c>
      <c r="H145" s="11" t="s">
        <v>886</v>
      </c>
      <c r="I145" s="11" t="s">
        <v>887</v>
      </c>
      <c r="J145" s="11" t="s">
        <v>65</v>
      </c>
      <c r="K145" s="11" t="s">
        <v>66</v>
      </c>
      <c r="L145" s="12" t="s">
        <v>75</v>
      </c>
      <c r="M145" s="11" t="s">
        <v>68</v>
      </c>
      <c r="N145" s="11" t="s">
        <v>68</v>
      </c>
      <c r="O145" s="11" t="s">
        <v>888</v>
      </c>
      <c r="P145" s="11" t="s">
        <v>1737</v>
      </c>
      <c r="Q145" s="11" t="s">
        <v>75</v>
      </c>
      <c r="R145" s="11" t="s">
        <v>1737</v>
      </c>
    </row>
    <row r="146" spans="1:18" x14ac:dyDescent="0.25">
      <c r="A146" s="6">
        <v>145</v>
      </c>
      <c r="B146" s="7" t="s">
        <v>558</v>
      </c>
      <c r="C146" s="7" t="s">
        <v>889</v>
      </c>
      <c r="D146" s="7" t="s">
        <v>883</v>
      </c>
      <c r="E146" s="13" t="s">
        <v>78</v>
      </c>
      <c r="F146" s="7" t="s">
        <v>890</v>
      </c>
      <c r="G146" s="7" t="s">
        <v>885</v>
      </c>
      <c r="H146" s="7" t="s">
        <v>891</v>
      </c>
      <c r="I146" s="7" t="s">
        <v>892</v>
      </c>
      <c r="J146" s="7" t="s">
        <v>65</v>
      </c>
      <c r="K146" s="7" t="s">
        <v>66</v>
      </c>
      <c r="L146" s="12" t="s">
        <v>75</v>
      </c>
      <c r="M146" s="7" t="s">
        <v>68</v>
      </c>
      <c r="N146" s="7" t="s">
        <v>68</v>
      </c>
      <c r="O146" s="7" t="s">
        <v>893</v>
      </c>
      <c r="P146" s="7" t="s">
        <v>1737</v>
      </c>
      <c r="Q146" s="7" t="s">
        <v>67</v>
      </c>
      <c r="R146" s="7" t="s">
        <v>1739</v>
      </c>
    </row>
    <row r="147" spans="1:18" x14ac:dyDescent="0.25">
      <c r="A147" s="10">
        <v>146</v>
      </c>
      <c r="B147" s="11" t="s">
        <v>558</v>
      </c>
      <c r="C147" s="11" t="s">
        <v>894</v>
      </c>
      <c r="D147" s="11" t="s">
        <v>883</v>
      </c>
      <c r="E147" s="13" t="s">
        <v>78</v>
      </c>
      <c r="F147" s="11" t="s">
        <v>895</v>
      </c>
      <c r="G147" s="11" t="s">
        <v>896</v>
      </c>
      <c r="H147" s="11" t="s">
        <v>897</v>
      </c>
      <c r="I147" s="11" t="s">
        <v>898</v>
      </c>
      <c r="J147" s="11" t="s">
        <v>65</v>
      </c>
      <c r="K147" s="11" t="s">
        <v>66</v>
      </c>
      <c r="L147" s="12" t="s">
        <v>75</v>
      </c>
      <c r="M147" s="11" t="s">
        <v>68</v>
      </c>
      <c r="N147" s="11" t="s">
        <v>68</v>
      </c>
      <c r="O147" s="11" t="s">
        <v>899</v>
      </c>
      <c r="P147" s="11" t="s">
        <v>1737</v>
      </c>
      <c r="Q147" s="11" t="s">
        <v>75</v>
      </c>
      <c r="R147" s="11" t="s">
        <v>1737</v>
      </c>
    </row>
    <row r="148" spans="1:18" x14ac:dyDescent="0.25">
      <c r="A148" s="6">
        <v>147</v>
      </c>
      <c r="B148" s="7" t="s">
        <v>558</v>
      </c>
      <c r="C148" s="7" t="s">
        <v>900</v>
      </c>
      <c r="D148" s="7" t="s">
        <v>883</v>
      </c>
      <c r="E148" s="8" t="s">
        <v>60</v>
      </c>
      <c r="F148" s="7" t="s">
        <v>901</v>
      </c>
      <c r="G148" s="7" t="s">
        <v>902</v>
      </c>
      <c r="H148" s="7" t="s">
        <v>903</v>
      </c>
      <c r="I148" s="7" t="s">
        <v>904</v>
      </c>
      <c r="J148" s="7" t="s">
        <v>83</v>
      </c>
      <c r="K148" s="7" t="s">
        <v>66</v>
      </c>
      <c r="L148" s="12" t="s">
        <v>75</v>
      </c>
      <c r="M148" s="7" t="s">
        <v>68</v>
      </c>
      <c r="N148" s="7" t="s">
        <v>68</v>
      </c>
      <c r="O148" s="7" t="s">
        <v>905</v>
      </c>
      <c r="P148" s="7" t="s">
        <v>1738</v>
      </c>
      <c r="R148" s="7" t="s">
        <v>171</v>
      </c>
    </row>
    <row r="149" spans="1:18" x14ac:dyDescent="0.25">
      <c r="A149" s="10">
        <v>148</v>
      </c>
      <c r="B149" s="11" t="s">
        <v>558</v>
      </c>
      <c r="C149" s="11" t="s">
        <v>906</v>
      </c>
      <c r="D149" s="11" t="s">
        <v>883</v>
      </c>
      <c r="E149" s="15" t="s">
        <v>714</v>
      </c>
      <c r="F149" s="11" t="s">
        <v>907</v>
      </c>
      <c r="G149" s="11" t="s">
        <v>908</v>
      </c>
      <c r="H149" s="11" t="s">
        <v>909</v>
      </c>
      <c r="I149" s="11" t="s">
        <v>910</v>
      </c>
      <c r="J149" s="11" t="s">
        <v>65</v>
      </c>
      <c r="K149" s="11" t="s">
        <v>66</v>
      </c>
      <c r="L149" s="9" t="s">
        <v>67</v>
      </c>
      <c r="M149" s="11" t="s">
        <v>68</v>
      </c>
      <c r="N149" s="11" t="s">
        <v>68</v>
      </c>
      <c r="O149" s="11" t="s">
        <v>719</v>
      </c>
      <c r="P149" s="11" t="s">
        <v>1737</v>
      </c>
      <c r="Q149" s="11" t="s">
        <v>67</v>
      </c>
      <c r="R149" s="11" t="s">
        <v>1737</v>
      </c>
    </row>
    <row r="150" spans="1:18" x14ac:dyDescent="0.25">
      <c r="A150" s="6">
        <v>149</v>
      </c>
      <c r="B150" s="7" t="s">
        <v>558</v>
      </c>
      <c r="C150" s="7" t="s">
        <v>911</v>
      </c>
      <c r="D150" s="7" t="s">
        <v>883</v>
      </c>
      <c r="E150" s="13" t="s">
        <v>78</v>
      </c>
      <c r="F150" s="7" t="s">
        <v>912</v>
      </c>
      <c r="G150" s="7" t="s">
        <v>913</v>
      </c>
      <c r="H150" s="7" t="s">
        <v>914</v>
      </c>
      <c r="I150" s="7" t="s">
        <v>915</v>
      </c>
      <c r="J150" s="7" t="s">
        <v>65</v>
      </c>
      <c r="K150" s="7" t="s">
        <v>66</v>
      </c>
      <c r="L150" s="12" t="s">
        <v>75</v>
      </c>
      <c r="M150" s="7" t="s">
        <v>68</v>
      </c>
      <c r="N150" s="7" t="s">
        <v>68</v>
      </c>
      <c r="O150" s="7" t="s">
        <v>916</v>
      </c>
      <c r="P150" s="7" t="s">
        <v>1737</v>
      </c>
      <c r="Q150" s="7" t="s">
        <v>75</v>
      </c>
      <c r="R150" s="7" t="s">
        <v>1737</v>
      </c>
    </row>
    <row r="151" spans="1:18" x14ac:dyDescent="0.25">
      <c r="A151" s="10">
        <v>150</v>
      </c>
      <c r="B151" s="11" t="s">
        <v>558</v>
      </c>
      <c r="C151" s="11" t="s">
        <v>917</v>
      </c>
      <c r="D151" s="11" t="s">
        <v>883</v>
      </c>
      <c r="E151" s="13" t="s">
        <v>78</v>
      </c>
      <c r="F151" s="11" t="s">
        <v>918</v>
      </c>
      <c r="G151" s="11" t="s">
        <v>919</v>
      </c>
      <c r="H151" s="11" t="s">
        <v>920</v>
      </c>
      <c r="I151" s="11" t="s">
        <v>921</v>
      </c>
      <c r="J151" s="11" t="s">
        <v>83</v>
      </c>
      <c r="K151" s="11" t="s">
        <v>66</v>
      </c>
      <c r="L151" s="12" t="s">
        <v>75</v>
      </c>
      <c r="M151" s="11" t="s">
        <v>68</v>
      </c>
      <c r="N151" s="11" t="s">
        <v>68</v>
      </c>
      <c r="O151" s="11" t="s">
        <v>922</v>
      </c>
      <c r="P151" s="11" t="s">
        <v>1737</v>
      </c>
      <c r="Q151" s="11" t="s">
        <v>75</v>
      </c>
      <c r="R151" s="11" t="s">
        <v>1737</v>
      </c>
    </row>
    <row r="152" spans="1:18" x14ac:dyDescent="0.25">
      <c r="A152" s="6">
        <v>151</v>
      </c>
      <c r="B152" s="7" t="s">
        <v>558</v>
      </c>
      <c r="C152" s="7" t="s">
        <v>923</v>
      </c>
      <c r="D152" s="7" t="s">
        <v>883</v>
      </c>
      <c r="E152" s="15" t="s">
        <v>714</v>
      </c>
      <c r="F152" s="7" t="s">
        <v>924</v>
      </c>
      <c r="G152" s="7" t="s">
        <v>925</v>
      </c>
      <c r="H152" s="7" t="s">
        <v>920</v>
      </c>
      <c r="I152" s="7" t="s">
        <v>926</v>
      </c>
      <c r="J152" s="7" t="s">
        <v>65</v>
      </c>
      <c r="K152" s="7" t="s">
        <v>66</v>
      </c>
      <c r="L152" s="9" t="s">
        <v>67</v>
      </c>
      <c r="M152" s="7" t="s">
        <v>68</v>
      </c>
      <c r="N152" s="7" t="s">
        <v>68</v>
      </c>
      <c r="O152" s="7" t="s">
        <v>719</v>
      </c>
      <c r="P152" s="7" t="s">
        <v>1737</v>
      </c>
      <c r="Q152" s="7" t="s">
        <v>67</v>
      </c>
      <c r="R152" s="7" t="s">
        <v>1737</v>
      </c>
    </row>
    <row r="153" spans="1:18" x14ac:dyDescent="0.25">
      <c r="A153" s="10">
        <v>152</v>
      </c>
      <c r="B153" s="11" t="s">
        <v>558</v>
      </c>
      <c r="C153" s="11" t="s">
        <v>927</v>
      </c>
      <c r="D153" s="11" t="s">
        <v>883</v>
      </c>
      <c r="E153" s="13" t="s">
        <v>78</v>
      </c>
      <c r="F153" s="11" t="s">
        <v>928</v>
      </c>
      <c r="G153" s="11" t="s">
        <v>929</v>
      </c>
      <c r="H153" s="11" t="s">
        <v>930</v>
      </c>
      <c r="I153" s="11" t="s">
        <v>931</v>
      </c>
      <c r="J153" s="11" t="s">
        <v>65</v>
      </c>
      <c r="K153" s="11" t="s">
        <v>66</v>
      </c>
      <c r="L153" s="9" t="s">
        <v>67</v>
      </c>
      <c r="M153" s="11" t="s">
        <v>68</v>
      </c>
      <c r="N153" s="11" t="s">
        <v>68</v>
      </c>
      <c r="O153" s="11" t="s">
        <v>932</v>
      </c>
      <c r="P153" s="11" t="s">
        <v>1737</v>
      </c>
      <c r="Q153" s="11" t="s">
        <v>67</v>
      </c>
      <c r="R153" s="11" t="s">
        <v>1737</v>
      </c>
    </row>
    <row r="154" spans="1:18" x14ac:dyDescent="0.25">
      <c r="A154" s="6">
        <v>153</v>
      </c>
      <c r="B154" s="7" t="s">
        <v>933</v>
      </c>
      <c r="C154" s="7" t="s">
        <v>934</v>
      </c>
      <c r="D154" s="7" t="s">
        <v>935</v>
      </c>
      <c r="E154" s="8" t="s">
        <v>60</v>
      </c>
      <c r="F154" s="7" t="s">
        <v>936</v>
      </c>
      <c r="G154" s="7" t="s">
        <v>937</v>
      </c>
      <c r="H154" s="7" t="s">
        <v>938</v>
      </c>
      <c r="I154" s="7" t="s">
        <v>939</v>
      </c>
      <c r="J154" s="7" t="s">
        <v>65</v>
      </c>
      <c r="K154" s="7" t="s">
        <v>66</v>
      </c>
      <c r="L154" s="9" t="s">
        <v>67</v>
      </c>
      <c r="M154" s="7" t="s">
        <v>68</v>
      </c>
      <c r="N154" s="7" t="s">
        <v>68</v>
      </c>
      <c r="O154" s="7" t="s">
        <v>940</v>
      </c>
      <c r="P154" s="7" t="s">
        <v>1738</v>
      </c>
      <c r="R154" s="7" t="s">
        <v>171</v>
      </c>
    </row>
    <row r="155" spans="1:18" x14ac:dyDescent="0.25">
      <c r="A155" s="10">
        <v>154</v>
      </c>
      <c r="B155" s="11" t="s">
        <v>933</v>
      </c>
      <c r="C155" s="11" t="s">
        <v>941</v>
      </c>
      <c r="D155" s="11" t="s">
        <v>935</v>
      </c>
      <c r="E155" s="8" t="s">
        <v>60</v>
      </c>
      <c r="F155" s="11" t="s">
        <v>942</v>
      </c>
      <c r="G155" s="11" t="s">
        <v>943</v>
      </c>
      <c r="H155" s="11" t="s">
        <v>944</v>
      </c>
      <c r="I155" s="11" t="s">
        <v>945</v>
      </c>
      <c r="J155" s="11" t="s">
        <v>65</v>
      </c>
      <c r="K155" s="11" t="s">
        <v>66</v>
      </c>
      <c r="L155" s="12" t="s">
        <v>75</v>
      </c>
      <c r="M155" s="11" t="s">
        <v>68</v>
      </c>
      <c r="N155" s="11" t="s">
        <v>68</v>
      </c>
      <c r="O155" s="11" t="s">
        <v>946</v>
      </c>
      <c r="P155" s="11" t="s">
        <v>1737</v>
      </c>
      <c r="Q155" s="11" t="s">
        <v>75</v>
      </c>
      <c r="R155" s="11" t="s">
        <v>1737</v>
      </c>
    </row>
    <row r="156" spans="1:18" x14ac:dyDescent="0.25">
      <c r="A156" s="6">
        <v>155</v>
      </c>
      <c r="B156" s="7" t="s">
        <v>933</v>
      </c>
      <c r="C156" s="7" t="s">
        <v>947</v>
      </c>
      <c r="D156" s="7" t="s">
        <v>935</v>
      </c>
      <c r="E156" s="8" t="s">
        <v>60</v>
      </c>
      <c r="F156" s="7" t="s">
        <v>948</v>
      </c>
      <c r="G156" s="7" t="s">
        <v>949</v>
      </c>
      <c r="H156" s="7" t="s">
        <v>950</v>
      </c>
      <c r="I156" s="7" t="s">
        <v>951</v>
      </c>
      <c r="J156" s="7" t="s">
        <v>83</v>
      </c>
      <c r="K156" s="7" t="s">
        <v>91</v>
      </c>
      <c r="L156" s="12" t="s">
        <v>75</v>
      </c>
      <c r="M156" s="7" t="s">
        <v>68</v>
      </c>
      <c r="N156" s="7" t="s">
        <v>68</v>
      </c>
      <c r="O156" s="7" t="s">
        <v>946</v>
      </c>
      <c r="P156" s="7" t="s">
        <v>1737</v>
      </c>
      <c r="Q156" s="7" t="s">
        <v>67</v>
      </c>
      <c r="R156" s="7" t="s">
        <v>1739</v>
      </c>
    </row>
    <row r="157" spans="1:18" x14ac:dyDescent="0.25">
      <c r="A157" s="10">
        <v>156</v>
      </c>
      <c r="B157" s="11" t="s">
        <v>933</v>
      </c>
      <c r="C157" s="11" t="s">
        <v>952</v>
      </c>
      <c r="D157" s="11" t="s">
        <v>935</v>
      </c>
      <c r="E157" s="8" t="s">
        <v>60</v>
      </c>
      <c r="F157" s="11" t="s">
        <v>953</v>
      </c>
      <c r="G157" s="11" t="s">
        <v>949</v>
      </c>
      <c r="H157" s="11" t="s">
        <v>954</v>
      </c>
      <c r="I157" s="11" t="s">
        <v>955</v>
      </c>
      <c r="J157" s="11" t="s">
        <v>83</v>
      </c>
      <c r="K157" s="11" t="s">
        <v>91</v>
      </c>
      <c r="L157" s="12" t="s">
        <v>75</v>
      </c>
      <c r="M157" s="11" t="s">
        <v>68</v>
      </c>
      <c r="N157" s="11" t="s">
        <v>68</v>
      </c>
      <c r="O157" s="11" t="s">
        <v>946</v>
      </c>
      <c r="P157" s="11" t="s">
        <v>1737</v>
      </c>
      <c r="Q157" s="11" t="s">
        <v>67</v>
      </c>
      <c r="R157" s="11" t="s">
        <v>1739</v>
      </c>
    </row>
    <row r="158" spans="1:18" x14ac:dyDescent="0.25">
      <c r="A158" s="6">
        <v>157</v>
      </c>
      <c r="B158" s="7" t="s">
        <v>933</v>
      </c>
      <c r="C158" s="7" t="s">
        <v>956</v>
      </c>
      <c r="D158" s="7" t="s">
        <v>935</v>
      </c>
      <c r="E158" s="8" t="s">
        <v>60</v>
      </c>
      <c r="F158" s="7" t="s">
        <v>957</v>
      </c>
      <c r="G158" s="7" t="s">
        <v>958</v>
      </c>
      <c r="H158" s="7" t="s">
        <v>959</v>
      </c>
      <c r="I158" s="7" t="s">
        <v>960</v>
      </c>
      <c r="J158" s="7" t="s">
        <v>65</v>
      </c>
      <c r="K158" s="7" t="s">
        <v>91</v>
      </c>
      <c r="L158" s="12" t="s">
        <v>75</v>
      </c>
      <c r="M158" s="7" t="s">
        <v>68</v>
      </c>
      <c r="N158" s="7" t="s">
        <v>68</v>
      </c>
      <c r="O158" s="7" t="s">
        <v>946</v>
      </c>
      <c r="P158" s="7" t="s">
        <v>1737</v>
      </c>
      <c r="Q158" s="7" t="s">
        <v>67</v>
      </c>
      <c r="R158" s="7" t="s">
        <v>1739</v>
      </c>
    </row>
    <row r="159" spans="1:18" x14ac:dyDescent="0.25">
      <c r="A159" s="10">
        <v>158</v>
      </c>
      <c r="B159" s="11" t="s">
        <v>933</v>
      </c>
      <c r="C159" s="11" t="s">
        <v>961</v>
      </c>
      <c r="D159" s="11" t="s">
        <v>935</v>
      </c>
      <c r="E159" s="8" t="s">
        <v>60</v>
      </c>
      <c r="F159" s="11" t="s">
        <v>962</v>
      </c>
      <c r="G159" s="11" t="s">
        <v>963</v>
      </c>
      <c r="H159" s="11" t="s">
        <v>964</v>
      </c>
      <c r="I159" s="11" t="s">
        <v>965</v>
      </c>
      <c r="J159" s="11" t="s">
        <v>65</v>
      </c>
      <c r="K159" s="11" t="s">
        <v>66</v>
      </c>
      <c r="L159" s="9" t="s">
        <v>67</v>
      </c>
      <c r="M159" s="11" t="s">
        <v>68</v>
      </c>
      <c r="N159" s="11" t="s">
        <v>68</v>
      </c>
      <c r="O159" s="11" t="s">
        <v>966</v>
      </c>
      <c r="P159" s="11" t="s">
        <v>1737</v>
      </c>
      <c r="Q159" s="11" t="s">
        <v>67</v>
      </c>
      <c r="R159" s="11" t="s">
        <v>1737</v>
      </c>
    </row>
    <row r="160" spans="1:18" x14ac:dyDescent="0.25">
      <c r="A160" s="6">
        <v>159</v>
      </c>
      <c r="B160" s="7" t="s">
        <v>933</v>
      </c>
      <c r="C160" s="7" t="s">
        <v>967</v>
      </c>
      <c r="D160" s="7" t="s">
        <v>935</v>
      </c>
      <c r="E160" s="8" t="s">
        <v>60</v>
      </c>
      <c r="F160" s="7" t="s">
        <v>968</v>
      </c>
      <c r="G160" s="7" t="s">
        <v>969</v>
      </c>
      <c r="H160" s="7" t="s">
        <v>970</v>
      </c>
      <c r="I160" s="7" t="s">
        <v>971</v>
      </c>
      <c r="J160" s="7" t="s">
        <v>65</v>
      </c>
      <c r="K160" s="7" t="s">
        <v>66</v>
      </c>
      <c r="L160" s="9" t="s">
        <v>67</v>
      </c>
      <c r="M160" s="7" t="s">
        <v>68</v>
      </c>
      <c r="N160" s="7" t="s">
        <v>68</v>
      </c>
      <c r="O160" s="7" t="s">
        <v>972</v>
      </c>
      <c r="P160" s="7" t="s">
        <v>1737</v>
      </c>
      <c r="Q160" s="7" t="s">
        <v>67</v>
      </c>
      <c r="R160" s="7" t="s">
        <v>1737</v>
      </c>
    </row>
    <row r="161" spans="1:18" x14ac:dyDescent="0.25">
      <c r="A161" s="10">
        <v>160</v>
      </c>
      <c r="B161" s="11" t="s">
        <v>933</v>
      </c>
      <c r="C161" s="11" t="s">
        <v>973</v>
      </c>
      <c r="D161" s="11" t="s">
        <v>935</v>
      </c>
      <c r="E161" s="8" t="s">
        <v>60</v>
      </c>
      <c r="F161" s="11" t="s">
        <v>974</v>
      </c>
      <c r="G161" s="11" t="s">
        <v>975</v>
      </c>
      <c r="H161" s="11" t="s">
        <v>976</v>
      </c>
      <c r="I161" s="11" t="s">
        <v>977</v>
      </c>
      <c r="J161" s="11" t="s">
        <v>65</v>
      </c>
      <c r="K161" s="11" t="s">
        <v>98</v>
      </c>
      <c r="L161" s="12" t="s">
        <v>75</v>
      </c>
      <c r="M161" s="11" t="s">
        <v>68</v>
      </c>
      <c r="N161" s="11" t="s">
        <v>68</v>
      </c>
      <c r="O161" s="11" t="s">
        <v>978</v>
      </c>
      <c r="P161" s="11" t="s">
        <v>1738</v>
      </c>
      <c r="R161" s="11" t="s">
        <v>171</v>
      </c>
    </row>
    <row r="162" spans="1:18" x14ac:dyDescent="0.25">
      <c r="A162" s="6">
        <v>161</v>
      </c>
      <c r="B162" s="7" t="s">
        <v>933</v>
      </c>
      <c r="C162" s="7" t="s">
        <v>979</v>
      </c>
      <c r="D162" s="7" t="s">
        <v>935</v>
      </c>
      <c r="E162" s="8" t="s">
        <v>60</v>
      </c>
      <c r="F162" s="7" t="s">
        <v>980</v>
      </c>
      <c r="G162" s="7" t="s">
        <v>981</v>
      </c>
      <c r="H162" s="7" t="s">
        <v>982</v>
      </c>
      <c r="I162" s="7" t="s">
        <v>983</v>
      </c>
      <c r="J162" s="7" t="s">
        <v>83</v>
      </c>
      <c r="K162" s="7" t="s">
        <v>91</v>
      </c>
      <c r="L162" s="9" t="s">
        <v>67</v>
      </c>
      <c r="M162" s="7" t="s">
        <v>68</v>
      </c>
      <c r="N162" s="7" t="s">
        <v>68</v>
      </c>
      <c r="O162" s="7" t="s">
        <v>984</v>
      </c>
      <c r="P162" s="7" t="s">
        <v>1737</v>
      </c>
      <c r="Q162" s="7" t="s">
        <v>67</v>
      </c>
      <c r="R162" s="7" t="s">
        <v>1737</v>
      </c>
    </row>
    <row r="163" spans="1:18" x14ac:dyDescent="0.25">
      <c r="A163" s="10">
        <v>162</v>
      </c>
      <c r="B163" s="11" t="s">
        <v>933</v>
      </c>
      <c r="C163" s="11" t="s">
        <v>985</v>
      </c>
      <c r="D163" s="11" t="s">
        <v>935</v>
      </c>
      <c r="E163" s="8" t="s">
        <v>60</v>
      </c>
      <c r="F163" s="11" t="s">
        <v>986</v>
      </c>
      <c r="G163" s="11" t="s">
        <v>987</v>
      </c>
      <c r="H163" s="11" t="s">
        <v>988</v>
      </c>
      <c r="I163" s="11" t="s">
        <v>989</v>
      </c>
      <c r="J163" s="11" t="s">
        <v>83</v>
      </c>
      <c r="K163" s="11" t="s">
        <v>91</v>
      </c>
      <c r="L163" s="12" t="s">
        <v>75</v>
      </c>
      <c r="M163" s="11" t="s">
        <v>68</v>
      </c>
      <c r="N163" s="11" t="s">
        <v>68</v>
      </c>
      <c r="O163" s="11" t="s">
        <v>946</v>
      </c>
      <c r="P163" s="11" t="s">
        <v>1737</v>
      </c>
      <c r="Q163" s="11" t="s">
        <v>67</v>
      </c>
      <c r="R163" s="11" t="s">
        <v>1739</v>
      </c>
    </row>
    <row r="164" spans="1:18" x14ac:dyDescent="0.25">
      <c r="A164" s="6">
        <v>163</v>
      </c>
      <c r="B164" s="7" t="s">
        <v>933</v>
      </c>
      <c r="C164" s="7" t="s">
        <v>990</v>
      </c>
      <c r="D164" s="7" t="s">
        <v>935</v>
      </c>
      <c r="E164" s="8" t="s">
        <v>60</v>
      </c>
      <c r="F164" s="7" t="s">
        <v>991</v>
      </c>
      <c r="G164" s="7" t="s">
        <v>992</v>
      </c>
      <c r="H164" s="7" t="s">
        <v>993</v>
      </c>
      <c r="I164" s="7" t="s">
        <v>994</v>
      </c>
      <c r="J164" s="7" t="s">
        <v>65</v>
      </c>
      <c r="K164" s="7" t="s">
        <v>98</v>
      </c>
      <c r="L164" s="9" t="s">
        <v>67</v>
      </c>
      <c r="M164" s="7" t="s">
        <v>68</v>
      </c>
      <c r="N164" s="7" t="s">
        <v>68</v>
      </c>
      <c r="O164" s="7" t="s">
        <v>995</v>
      </c>
      <c r="P164" s="7" t="s">
        <v>1737</v>
      </c>
      <c r="Q164" s="7" t="s">
        <v>67</v>
      </c>
      <c r="R164" s="7" t="s">
        <v>1737</v>
      </c>
    </row>
    <row r="165" spans="1:18" x14ac:dyDescent="0.25">
      <c r="A165" s="10">
        <v>164</v>
      </c>
      <c r="B165" s="11" t="s">
        <v>933</v>
      </c>
      <c r="C165" s="11" t="s">
        <v>996</v>
      </c>
      <c r="D165" s="11" t="s">
        <v>935</v>
      </c>
      <c r="E165" s="8" t="s">
        <v>60</v>
      </c>
      <c r="F165" s="11" t="s">
        <v>997</v>
      </c>
      <c r="G165" s="11" t="s">
        <v>998</v>
      </c>
      <c r="H165" s="11" t="s">
        <v>999</v>
      </c>
      <c r="I165" s="11" t="s">
        <v>1000</v>
      </c>
      <c r="J165" s="11" t="s">
        <v>65</v>
      </c>
      <c r="K165" s="11" t="s">
        <v>98</v>
      </c>
      <c r="L165" s="9" t="s">
        <v>67</v>
      </c>
      <c r="M165" s="11" t="s">
        <v>68</v>
      </c>
      <c r="N165" s="11" t="s">
        <v>68</v>
      </c>
      <c r="O165" s="11" t="s">
        <v>1001</v>
      </c>
      <c r="P165" s="11" t="s">
        <v>1737</v>
      </c>
      <c r="Q165" s="11" t="s">
        <v>67</v>
      </c>
      <c r="R165" s="11" t="s">
        <v>1737</v>
      </c>
    </row>
    <row r="166" spans="1:18" x14ac:dyDescent="0.25">
      <c r="A166" s="6">
        <v>165</v>
      </c>
      <c r="B166" s="7" t="s">
        <v>933</v>
      </c>
      <c r="C166" s="7" t="s">
        <v>1002</v>
      </c>
      <c r="D166" s="7" t="s">
        <v>935</v>
      </c>
      <c r="E166" s="8" t="s">
        <v>60</v>
      </c>
      <c r="F166" s="7" t="s">
        <v>1003</v>
      </c>
      <c r="G166" s="7" t="s">
        <v>1004</v>
      </c>
      <c r="H166" s="7" t="s">
        <v>1005</v>
      </c>
      <c r="I166" s="7" t="s">
        <v>1006</v>
      </c>
      <c r="J166" s="7" t="s">
        <v>65</v>
      </c>
      <c r="K166" s="7" t="s">
        <v>66</v>
      </c>
      <c r="L166" s="9" t="s">
        <v>67</v>
      </c>
      <c r="M166" s="7" t="s">
        <v>68</v>
      </c>
      <c r="N166" s="7" t="s">
        <v>68</v>
      </c>
      <c r="O166" s="7" t="s">
        <v>1007</v>
      </c>
      <c r="P166" s="7" t="s">
        <v>1738</v>
      </c>
      <c r="R166" s="7" t="s">
        <v>171</v>
      </c>
    </row>
    <row r="167" spans="1:18" x14ac:dyDescent="0.25">
      <c r="A167" s="10">
        <v>166</v>
      </c>
      <c r="B167" s="11" t="s">
        <v>933</v>
      </c>
      <c r="C167" s="11" t="s">
        <v>1008</v>
      </c>
      <c r="D167" s="11" t="s">
        <v>935</v>
      </c>
      <c r="E167" s="8" t="s">
        <v>60</v>
      </c>
      <c r="F167" s="11" t="s">
        <v>1009</v>
      </c>
      <c r="G167" s="11" t="s">
        <v>1010</v>
      </c>
      <c r="H167" s="11" t="s">
        <v>1011</v>
      </c>
      <c r="I167" s="11" t="s">
        <v>1012</v>
      </c>
      <c r="J167" s="11" t="s">
        <v>83</v>
      </c>
      <c r="K167" s="11" t="s">
        <v>66</v>
      </c>
      <c r="L167" s="12" t="s">
        <v>75</v>
      </c>
      <c r="M167" s="11" t="s">
        <v>68</v>
      </c>
      <c r="N167" s="11" t="s">
        <v>68</v>
      </c>
      <c r="O167" s="11" t="s">
        <v>1013</v>
      </c>
      <c r="P167" s="11" t="s">
        <v>1738</v>
      </c>
      <c r="R167" s="11" t="s">
        <v>171</v>
      </c>
    </row>
    <row r="168" spans="1:18" x14ac:dyDescent="0.25">
      <c r="A168" s="6">
        <v>167</v>
      </c>
      <c r="B168" s="7" t="s">
        <v>933</v>
      </c>
      <c r="C168" s="7" t="s">
        <v>1014</v>
      </c>
      <c r="D168" s="7" t="s">
        <v>935</v>
      </c>
      <c r="E168" s="8" t="s">
        <v>60</v>
      </c>
      <c r="F168" s="7" t="s">
        <v>1015</v>
      </c>
      <c r="G168" s="7" t="s">
        <v>1016</v>
      </c>
      <c r="H168" s="7" t="s">
        <v>1017</v>
      </c>
      <c r="I168" s="7" t="s">
        <v>1018</v>
      </c>
      <c r="J168" s="7" t="s">
        <v>65</v>
      </c>
      <c r="K168" s="7" t="s">
        <v>66</v>
      </c>
      <c r="L168" s="12" t="s">
        <v>75</v>
      </c>
      <c r="M168" s="7" t="s">
        <v>68</v>
      </c>
      <c r="N168" s="7" t="s">
        <v>68</v>
      </c>
      <c r="O168" s="7" t="s">
        <v>946</v>
      </c>
      <c r="P168" s="7" t="s">
        <v>1737</v>
      </c>
      <c r="Q168" s="7" t="s">
        <v>67</v>
      </c>
      <c r="R168" s="7" t="s">
        <v>1739</v>
      </c>
    </row>
    <row r="169" spans="1:18" x14ac:dyDescent="0.25">
      <c r="A169" s="10">
        <v>168</v>
      </c>
      <c r="B169" s="11" t="s">
        <v>933</v>
      </c>
      <c r="C169" s="11" t="s">
        <v>1019</v>
      </c>
      <c r="D169" s="11" t="s">
        <v>935</v>
      </c>
      <c r="E169" s="8" t="s">
        <v>60</v>
      </c>
      <c r="F169" s="11" t="s">
        <v>1020</v>
      </c>
      <c r="G169" s="11" t="s">
        <v>1021</v>
      </c>
      <c r="H169" s="11" t="s">
        <v>1022</v>
      </c>
      <c r="I169" s="11" t="s">
        <v>1023</v>
      </c>
      <c r="J169" s="11" t="s">
        <v>83</v>
      </c>
      <c r="K169" s="11" t="s">
        <v>66</v>
      </c>
      <c r="L169" s="12" t="s">
        <v>75</v>
      </c>
      <c r="M169" s="11" t="s">
        <v>68</v>
      </c>
      <c r="N169" s="11" t="s">
        <v>68</v>
      </c>
      <c r="O169" s="11" t="s">
        <v>946</v>
      </c>
      <c r="P169" s="11" t="s">
        <v>1737</v>
      </c>
      <c r="Q169" s="11" t="s">
        <v>67</v>
      </c>
      <c r="R169" s="11" t="s">
        <v>1739</v>
      </c>
    </row>
    <row r="170" spans="1:18" x14ac:dyDescent="0.25">
      <c r="A170" s="6">
        <v>169</v>
      </c>
      <c r="B170" s="7" t="s">
        <v>933</v>
      </c>
      <c r="C170" s="7" t="s">
        <v>1024</v>
      </c>
      <c r="D170" s="7" t="s">
        <v>935</v>
      </c>
      <c r="E170" s="15" t="s">
        <v>714</v>
      </c>
      <c r="F170" s="7" t="s">
        <v>1025</v>
      </c>
      <c r="G170" s="7" t="s">
        <v>1026</v>
      </c>
      <c r="H170" s="7" t="s">
        <v>1027</v>
      </c>
      <c r="I170" s="7" t="s">
        <v>1028</v>
      </c>
      <c r="J170" s="7" t="s">
        <v>65</v>
      </c>
      <c r="K170" s="7" t="s">
        <v>687</v>
      </c>
      <c r="L170" s="9" t="s">
        <v>67</v>
      </c>
      <c r="M170" s="7" t="s">
        <v>68</v>
      </c>
      <c r="N170" s="7" t="s">
        <v>68</v>
      </c>
      <c r="O170" s="7" t="s">
        <v>719</v>
      </c>
      <c r="P170" s="7" t="s">
        <v>1737</v>
      </c>
      <c r="Q170" s="7" t="s">
        <v>67</v>
      </c>
      <c r="R170" s="7" t="s">
        <v>1737</v>
      </c>
    </row>
    <row r="171" spans="1:18" x14ac:dyDescent="0.25">
      <c r="A171" s="10">
        <v>170</v>
      </c>
      <c r="B171" s="11" t="s">
        <v>933</v>
      </c>
      <c r="C171" s="11" t="s">
        <v>1029</v>
      </c>
      <c r="D171" s="11" t="s">
        <v>935</v>
      </c>
      <c r="E171" s="15" t="s">
        <v>714</v>
      </c>
      <c r="F171" s="11" t="s">
        <v>1030</v>
      </c>
      <c r="G171" s="11" t="s">
        <v>1031</v>
      </c>
      <c r="H171" s="11" t="s">
        <v>1032</v>
      </c>
      <c r="I171" s="11" t="s">
        <v>1033</v>
      </c>
      <c r="J171" s="11" t="s">
        <v>65</v>
      </c>
      <c r="K171" s="11" t="s">
        <v>687</v>
      </c>
      <c r="L171" s="9" t="s">
        <v>67</v>
      </c>
      <c r="M171" s="11" t="s">
        <v>68</v>
      </c>
      <c r="N171" s="11" t="s">
        <v>68</v>
      </c>
      <c r="O171" s="11" t="s">
        <v>719</v>
      </c>
      <c r="P171" s="11" t="s">
        <v>1737</v>
      </c>
      <c r="Q171" s="11" t="s">
        <v>67</v>
      </c>
      <c r="R171" s="11" t="s">
        <v>1737</v>
      </c>
    </row>
    <row r="172" spans="1:18" x14ac:dyDescent="0.25">
      <c r="A172" s="6">
        <v>171</v>
      </c>
      <c r="B172" s="7" t="s">
        <v>933</v>
      </c>
      <c r="C172" s="7" t="s">
        <v>1034</v>
      </c>
      <c r="D172" s="7" t="s">
        <v>935</v>
      </c>
      <c r="E172" s="8" t="s">
        <v>60</v>
      </c>
      <c r="F172" s="7" t="s">
        <v>1035</v>
      </c>
      <c r="G172" s="7" t="s">
        <v>1036</v>
      </c>
      <c r="H172" s="7" t="s">
        <v>1037</v>
      </c>
      <c r="I172" s="7" t="s">
        <v>1038</v>
      </c>
      <c r="J172" s="7" t="s">
        <v>83</v>
      </c>
      <c r="K172" s="7" t="s">
        <v>66</v>
      </c>
      <c r="L172" s="9" t="s">
        <v>67</v>
      </c>
      <c r="M172" s="7" t="s">
        <v>68</v>
      </c>
      <c r="N172" s="7" t="s">
        <v>68</v>
      </c>
      <c r="O172" s="7" t="s">
        <v>1039</v>
      </c>
      <c r="P172" s="7" t="s">
        <v>1737</v>
      </c>
      <c r="Q172" s="7" t="s">
        <v>75</v>
      </c>
      <c r="R172" s="7" t="s">
        <v>1739</v>
      </c>
    </row>
    <row r="173" spans="1:18" x14ac:dyDescent="0.25">
      <c r="A173" s="10">
        <v>172</v>
      </c>
      <c r="B173" s="11" t="s">
        <v>933</v>
      </c>
      <c r="C173" s="11" t="s">
        <v>1040</v>
      </c>
      <c r="D173" s="11" t="s">
        <v>935</v>
      </c>
      <c r="E173" s="13" t="s">
        <v>78</v>
      </c>
      <c r="F173" s="11" t="s">
        <v>1041</v>
      </c>
      <c r="G173" s="11" t="s">
        <v>171</v>
      </c>
      <c r="H173" s="11" t="s">
        <v>1042</v>
      </c>
      <c r="I173" s="11" t="s">
        <v>1043</v>
      </c>
      <c r="J173" s="11" t="s">
        <v>65</v>
      </c>
      <c r="K173" s="11" t="s">
        <v>98</v>
      </c>
      <c r="L173" s="12" t="s">
        <v>75</v>
      </c>
      <c r="M173" s="11" t="s">
        <v>68</v>
      </c>
      <c r="N173" s="11" t="s">
        <v>68</v>
      </c>
      <c r="O173" s="11" t="s">
        <v>1044</v>
      </c>
      <c r="P173" s="11" t="s">
        <v>1737</v>
      </c>
      <c r="Q173" s="11" t="s">
        <v>75</v>
      </c>
      <c r="R173" s="11" t="s">
        <v>1737</v>
      </c>
    </row>
    <row r="174" spans="1:18" x14ac:dyDescent="0.25">
      <c r="A174" s="6">
        <v>173</v>
      </c>
      <c r="B174" s="7" t="s">
        <v>933</v>
      </c>
      <c r="C174" s="7" t="s">
        <v>1045</v>
      </c>
      <c r="D174" s="7" t="s">
        <v>935</v>
      </c>
      <c r="E174" s="8" t="s">
        <v>60</v>
      </c>
      <c r="F174" s="7" t="s">
        <v>1046</v>
      </c>
      <c r="G174" s="7" t="s">
        <v>1047</v>
      </c>
      <c r="H174" s="7" t="s">
        <v>1048</v>
      </c>
      <c r="I174" s="7" t="s">
        <v>1049</v>
      </c>
      <c r="J174" s="7" t="s">
        <v>83</v>
      </c>
      <c r="K174" s="7" t="s">
        <v>66</v>
      </c>
      <c r="L174" s="12" t="s">
        <v>75</v>
      </c>
      <c r="M174" s="7" t="s">
        <v>68</v>
      </c>
      <c r="N174" s="7" t="s">
        <v>68</v>
      </c>
      <c r="O174" s="7" t="s">
        <v>946</v>
      </c>
      <c r="P174" s="7" t="s">
        <v>1737</v>
      </c>
      <c r="Q174" s="7" t="s">
        <v>75</v>
      </c>
      <c r="R174" s="7" t="s">
        <v>1737</v>
      </c>
    </row>
    <row r="175" spans="1:18" x14ac:dyDescent="0.25">
      <c r="A175" s="10">
        <v>174</v>
      </c>
      <c r="B175" s="11" t="s">
        <v>933</v>
      </c>
      <c r="C175" s="11" t="s">
        <v>1050</v>
      </c>
      <c r="D175" s="11" t="s">
        <v>935</v>
      </c>
      <c r="E175" s="8" t="s">
        <v>60</v>
      </c>
      <c r="F175" s="11" t="s">
        <v>1051</v>
      </c>
      <c r="G175" s="11" t="s">
        <v>1052</v>
      </c>
      <c r="H175" s="11" t="s">
        <v>1053</v>
      </c>
      <c r="I175" s="11" t="s">
        <v>1054</v>
      </c>
      <c r="J175" s="11" t="s">
        <v>65</v>
      </c>
      <c r="K175" s="11" t="s">
        <v>66</v>
      </c>
      <c r="L175" s="9" t="s">
        <v>67</v>
      </c>
      <c r="M175" s="11" t="s">
        <v>68</v>
      </c>
      <c r="N175" s="11" t="s">
        <v>68</v>
      </c>
      <c r="O175" s="11" t="s">
        <v>1055</v>
      </c>
      <c r="P175" s="11" t="s">
        <v>1738</v>
      </c>
      <c r="R175" s="11" t="s">
        <v>171</v>
      </c>
    </row>
    <row r="176" spans="1:18" x14ac:dyDescent="0.25">
      <c r="A176" s="6">
        <v>175</v>
      </c>
      <c r="B176" s="7" t="s">
        <v>933</v>
      </c>
      <c r="C176" s="7" t="s">
        <v>1056</v>
      </c>
      <c r="D176" s="7" t="s">
        <v>935</v>
      </c>
      <c r="E176" s="8" t="s">
        <v>60</v>
      </c>
      <c r="F176" s="7" t="s">
        <v>1057</v>
      </c>
      <c r="G176" s="7" t="s">
        <v>1058</v>
      </c>
      <c r="H176" s="7" t="s">
        <v>1059</v>
      </c>
      <c r="I176" s="7" t="s">
        <v>1060</v>
      </c>
      <c r="J176" s="7" t="s">
        <v>65</v>
      </c>
      <c r="K176" s="7" t="s">
        <v>66</v>
      </c>
      <c r="L176" s="9" t="s">
        <v>67</v>
      </c>
      <c r="M176" s="7" t="s">
        <v>68</v>
      </c>
      <c r="N176" s="7" t="s">
        <v>68</v>
      </c>
      <c r="O176" s="7" t="s">
        <v>1061</v>
      </c>
      <c r="P176" s="7" t="s">
        <v>1737</v>
      </c>
      <c r="Q176" s="7" t="s">
        <v>67</v>
      </c>
      <c r="R176" s="7" t="s">
        <v>1737</v>
      </c>
    </row>
    <row r="177" spans="1:18" x14ac:dyDescent="0.25">
      <c r="A177" s="10">
        <v>176</v>
      </c>
      <c r="B177" s="11" t="s">
        <v>933</v>
      </c>
      <c r="C177" s="11" t="s">
        <v>1062</v>
      </c>
      <c r="D177" s="11" t="s">
        <v>935</v>
      </c>
      <c r="E177" s="13" t="s">
        <v>78</v>
      </c>
      <c r="F177" s="11" t="s">
        <v>1063</v>
      </c>
      <c r="G177" s="11" t="s">
        <v>87</v>
      </c>
      <c r="H177" s="11" t="s">
        <v>1064</v>
      </c>
      <c r="I177" s="11" t="s">
        <v>1065</v>
      </c>
      <c r="J177" s="11" t="s">
        <v>83</v>
      </c>
      <c r="K177" s="11" t="s">
        <v>66</v>
      </c>
      <c r="L177" s="9" t="s">
        <v>67</v>
      </c>
      <c r="M177" s="11" t="s">
        <v>68</v>
      </c>
      <c r="N177" s="11" t="s">
        <v>68</v>
      </c>
      <c r="O177" s="11" t="s">
        <v>1066</v>
      </c>
      <c r="P177" s="11" t="s">
        <v>1737</v>
      </c>
      <c r="Q177" s="11" t="s">
        <v>67</v>
      </c>
      <c r="R177" s="11" t="s">
        <v>1737</v>
      </c>
    </row>
    <row r="178" spans="1:18" x14ac:dyDescent="0.25">
      <c r="A178" s="6">
        <v>177</v>
      </c>
      <c r="B178" s="7" t="s">
        <v>933</v>
      </c>
      <c r="C178" s="7" t="s">
        <v>1067</v>
      </c>
      <c r="D178" s="7" t="s">
        <v>1068</v>
      </c>
      <c r="E178" s="8" t="s">
        <v>60</v>
      </c>
      <c r="F178" s="7" t="s">
        <v>1069</v>
      </c>
      <c r="G178" s="7" t="s">
        <v>1070</v>
      </c>
      <c r="H178" s="7" t="s">
        <v>938</v>
      </c>
      <c r="I178" s="7" t="s">
        <v>1071</v>
      </c>
      <c r="J178" s="7" t="s">
        <v>65</v>
      </c>
      <c r="K178" s="7" t="s">
        <v>66</v>
      </c>
      <c r="L178" s="9" t="s">
        <v>67</v>
      </c>
      <c r="M178" s="7" t="s">
        <v>68</v>
      </c>
      <c r="N178" s="7" t="s">
        <v>68</v>
      </c>
      <c r="O178" s="7" t="s">
        <v>1072</v>
      </c>
      <c r="P178" s="7" t="s">
        <v>1737</v>
      </c>
      <c r="Q178" s="7" t="s">
        <v>67</v>
      </c>
      <c r="R178" s="7" t="s">
        <v>1737</v>
      </c>
    </row>
    <row r="179" spans="1:18" x14ac:dyDescent="0.25">
      <c r="A179" s="10">
        <v>178</v>
      </c>
      <c r="B179" s="11" t="s">
        <v>933</v>
      </c>
      <c r="C179" s="11" t="s">
        <v>1073</v>
      </c>
      <c r="D179" s="11" t="s">
        <v>1068</v>
      </c>
      <c r="E179" s="8" t="s">
        <v>60</v>
      </c>
      <c r="F179" s="11" t="s">
        <v>1074</v>
      </c>
      <c r="G179" s="11" t="s">
        <v>1075</v>
      </c>
      <c r="H179" s="11" t="s">
        <v>1076</v>
      </c>
      <c r="I179" s="11" t="s">
        <v>1077</v>
      </c>
      <c r="J179" s="11" t="s">
        <v>65</v>
      </c>
      <c r="K179" s="11" t="s">
        <v>66</v>
      </c>
      <c r="L179" s="12" t="s">
        <v>75</v>
      </c>
      <c r="M179" s="11" t="s">
        <v>68</v>
      </c>
      <c r="N179" s="11" t="s">
        <v>68</v>
      </c>
      <c r="O179" s="11" t="s">
        <v>946</v>
      </c>
      <c r="P179" s="11" t="s">
        <v>1737</v>
      </c>
      <c r="Q179" s="11" t="s">
        <v>67</v>
      </c>
      <c r="R179" s="11" t="s">
        <v>1739</v>
      </c>
    </row>
    <row r="180" spans="1:18" x14ac:dyDescent="0.25">
      <c r="A180" s="6">
        <v>179</v>
      </c>
      <c r="B180" s="7" t="s">
        <v>933</v>
      </c>
      <c r="C180" s="7" t="s">
        <v>1078</v>
      </c>
      <c r="D180" s="7" t="s">
        <v>1068</v>
      </c>
      <c r="E180" s="8" t="s">
        <v>60</v>
      </c>
      <c r="F180" s="7" t="s">
        <v>1079</v>
      </c>
      <c r="G180" s="7" t="s">
        <v>1080</v>
      </c>
      <c r="H180" s="7" t="s">
        <v>1081</v>
      </c>
      <c r="I180" s="7" t="s">
        <v>1082</v>
      </c>
      <c r="J180" s="7" t="s">
        <v>83</v>
      </c>
      <c r="K180" s="7" t="s">
        <v>66</v>
      </c>
      <c r="L180" s="12" t="s">
        <v>75</v>
      </c>
      <c r="M180" s="7" t="s">
        <v>68</v>
      </c>
      <c r="N180" s="7" t="s">
        <v>68</v>
      </c>
      <c r="O180" s="7" t="s">
        <v>946</v>
      </c>
      <c r="P180" s="7" t="s">
        <v>1738</v>
      </c>
      <c r="R180" s="7" t="s">
        <v>171</v>
      </c>
    </row>
    <row r="181" spans="1:18" x14ac:dyDescent="0.25">
      <c r="A181" s="10">
        <v>180</v>
      </c>
      <c r="B181" s="11" t="s">
        <v>933</v>
      </c>
      <c r="C181" s="11" t="s">
        <v>1083</v>
      </c>
      <c r="D181" s="11" t="s">
        <v>1068</v>
      </c>
      <c r="E181" s="8" t="s">
        <v>60</v>
      </c>
      <c r="F181" s="11" t="s">
        <v>1084</v>
      </c>
      <c r="G181" s="11" t="s">
        <v>1085</v>
      </c>
      <c r="H181" s="11" t="s">
        <v>1086</v>
      </c>
      <c r="I181" s="11" t="s">
        <v>1087</v>
      </c>
      <c r="J181" s="11" t="s">
        <v>83</v>
      </c>
      <c r="K181" s="11" t="s">
        <v>91</v>
      </c>
      <c r="L181" s="12" t="s">
        <v>75</v>
      </c>
      <c r="M181" s="11" t="s">
        <v>68</v>
      </c>
      <c r="N181" s="11" t="s">
        <v>68</v>
      </c>
      <c r="O181" s="11" t="s">
        <v>946</v>
      </c>
      <c r="P181" s="11" t="s">
        <v>1737</v>
      </c>
      <c r="Q181" s="11" t="s">
        <v>67</v>
      </c>
      <c r="R181" s="11" t="s">
        <v>1739</v>
      </c>
    </row>
    <row r="182" spans="1:18" x14ac:dyDescent="0.25">
      <c r="A182" s="6">
        <v>181</v>
      </c>
      <c r="B182" s="7" t="s">
        <v>933</v>
      </c>
      <c r="C182" s="7" t="s">
        <v>1088</v>
      </c>
      <c r="D182" s="7" t="s">
        <v>1068</v>
      </c>
      <c r="E182" s="8" t="s">
        <v>60</v>
      </c>
      <c r="F182" s="7" t="s">
        <v>1089</v>
      </c>
      <c r="G182" s="7" t="s">
        <v>1090</v>
      </c>
      <c r="H182" s="7" t="s">
        <v>1091</v>
      </c>
      <c r="I182" s="7" t="s">
        <v>1092</v>
      </c>
      <c r="J182" s="7" t="s">
        <v>83</v>
      </c>
      <c r="K182" s="7" t="s">
        <v>66</v>
      </c>
      <c r="L182" s="9" t="s">
        <v>67</v>
      </c>
      <c r="M182" s="7" t="s">
        <v>68</v>
      </c>
      <c r="N182" s="7" t="s">
        <v>68</v>
      </c>
      <c r="O182" s="7" t="s">
        <v>1093</v>
      </c>
      <c r="P182" s="7" t="s">
        <v>1738</v>
      </c>
      <c r="R182" s="7" t="s">
        <v>171</v>
      </c>
    </row>
    <row r="183" spans="1:18" x14ac:dyDescent="0.25">
      <c r="A183" s="10">
        <v>182</v>
      </c>
      <c r="B183" s="11" t="s">
        <v>933</v>
      </c>
      <c r="C183" s="11" t="s">
        <v>1094</v>
      </c>
      <c r="D183" s="11" t="s">
        <v>1068</v>
      </c>
      <c r="E183" s="8" t="s">
        <v>60</v>
      </c>
      <c r="F183" s="11" t="s">
        <v>1095</v>
      </c>
      <c r="G183" s="11" t="s">
        <v>1090</v>
      </c>
      <c r="H183" s="11" t="s">
        <v>1096</v>
      </c>
      <c r="I183" s="11" t="s">
        <v>1097</v>
      </c>
      <c r="J183" s="11" t="s">
        <v>83</v>
      </c>
      <c r="K183" s="11" t="s">
        <v>66</v>
      </c>
      <c r="L183" s="12" t="s">
        <v>75</v>
      </c>
      <c r="M183" s="11" t="s">
        <v>68</v>
      </c>
      <c r="N183" s="11" t="s">
        <v>68</v>
      </c>
      <c r="O183" s="11" t="s">
        <v>946</v>
      </c>
      <c r="P183" s="11" t="s">
        <v>1737</v>
      </c>
      <c r="Q183" s="11" t="s">
        <v>67</v>
      </c>
      <c r="R183" s="11" t="s">
        <v>1739</v>
      </c>
    </row>
    <row r="184" spans="1:18" x14ac:dyDescent="0.25">
      <c r="A184" s="6">
        <v>183</v>
      </c>
      <c r="B184" s="7" t="s">
        <v>933</v>
      </c>
      <c r="C184" s="7" t="s">
        <v>1098</v>
      </c>
      <c r="D184" s="7" t="s">
        <v>1068</v>
      </c>
      <c r="E184" s="8" t="s">
        <v>60</v>
      </c>
      <c r="F184" s="7" t="s">
        <v>1099</v>
      </c>
      <c r="G184" s="7" t="s">
        <v>1100</v>
      </c>
      <c r="H184" s="7" t="s">
        <v>1101</v>
      </c>
      <c r="I184" s="7" t="s">
        <v>1102</v>
      </c>
      <c r="J184" s="7" t="s">
        <v>83</v>
      </c>
      <c r="K184" s="7" t="s">
        <v>66</v>
      </c>
      <c r="L184" s="12" t="s">
        <v>75</v>
      </c>
      <c r="M184" s="7" t="s">
        <v>68</v>
      </c>
      <c r="N184" s="7" t="s">
        <v>68</v>
      </c>
      <c r="O184" s="7" t="s">
        <v>946</v>
      </c>
      <c r="P184" s="7" t="s">
        <v>1738</v>
      </c>
      <c r="R184" s="7" t="s">
        <v>171</v>
      </c>
    </row>
    <row r="185" spans="1:18" x14ac:dyDescent="0.25">
      <c r="A185" s="10">
        <v>184</v>
      </c>
      <c r="B185" s="11" t="s">
        <v>933</v>
      </c>
      <c r="C185" s="11" t="s">
        <v>1103</v>
      </c>
      <c r="D185" s="11" t="s">
        <v>1068</v>
      </c>
      <c r="E185" s="8" t="s">
        <v>60</v>
      </c>
      <c r="F185" s="11" t="s">
        <v>1104</v>
      </c>
      <c r="G185" s="11" t="s">
        <v>1105</v>
      </c>
      <c r="H185" s="11" t="s">
        <v>1106</v>
      </c>
      <c r="I185" s="11" t="s">
        <v>1107</v>
      </c>
      <c r="J185" s="11" t="s">
        <v>90</v>
      </c>
      <c r="K185" s="11" t="s">
        <v>66</v>
      </c>
      <c r="L185" s="12" t="s">
        <v>75</v>
      </c>
      <c r="M185" s="11" t="s">
        <v>68</v>
      </c>
      <c r="N185" s="11" t="s">
        <v>68</v>
      </c>
      <c r="O185" s="11" t="s">
        <v>946</v>
      </c>
      <c r="P185" s="11" t="s">
        <v>1738</v>
      </c>
      <c r="R185" s="11" t="s">
        <v>171</v>
      </c>
    </row>
    <row r="186" spans="1:18" x14ac:dyDescent="0.25">
      <c r="A186" s="6">
        <v>185</v>
      </c>
      <c r="B186" s="7" t="s">
        <v>933</v>
      </c>
      <c r="C186" s="7" t="s">
        <v>1108</v>
      </c>
      <c r="D186" s="7" t="s">
        <v>1068</v>
      </c>
      <c r="E186" s="8" t="s">
        <v>60</v>
      </c>
      <c r="F186" s="7" t="s">
        <v>1109</v>
      </c>
      <c r="G186" s="7" t="s">
        <v>1058</v>
      </c>
      <c r="H186" s="7" t="s">
        <v>1110</v>
      </c>
      <c r="I186" s="7" t="s">
        <v>1111</v>
      </c>
      <c r="J186" s="7" t="s">
        <v>83</v>
      </c>
      <c r="K186" s="7" t="s">
        <v>66</v>
      </c>
      <c r="L186" s="12" t="s">
        <v>75</v>
      </c>
      <c r="M186" s="7" t="s">
        <v>68</v>
      </c>
      <c r="N186" s="7" t="s">
        <v>68</v>
      </c>
      <c r="O186" s="7" t="s">
        <v>946</v>
      </c>
      <c r="P186" s="7" t="s">
        <v>1738</v>
      </c>
      <c r="R186" s="7" t="s">
        <v>171</v>
      </c>
    </row>
    <row r="187" spans="1:18" x14ac:dyDescent="0.25">
      <c r="A187" s="10">
        <v>186</v>
      </c>
      <c r="B187" s="11" t="s">
        <v>933</v>
      </c>
      <c r="C187" s="11" t="s">
        <v>1112</v>
      </c>
      <c r="D187" s="11" t="s">
        <v>1068</v>
      </c>
      <c r="E187" s="8" t="s">
        <v>60</v>
      </c>
      <c r="F187" s="11" t="s">
        <v>1113</v>
      </c>
      <c r="G187" s="11" t="s">
        <v>1114</v>
      </c>
      <c r="H187" s="11" t="s">
        <v>1115</v>
      </c>
      <c r="I187" s="11" t="s">
        <v>1116</v>
      </c>
      <c r="J187" s="11" t="s">
        <v>90</v>
      </c>
      <c r="K187" s="11" t="s">
        <v>66</v>
      </c>
      <c r="L187" s="9" t="s">
        <v>67</v>
      </c>
      <c r="M187" s="11" t="s">
        <v>68</v>
      </c>
      <c r="N187" s="11" t="s">
        <v>68</v>
      </c>
      <c r="O187" s="11" t="s">
        <v>1117</v>
      </c>
      <c r="P187" s="11" t="s">
        <v>1737</v>
      </c>
      <c r="Q187" s="11" t="s">
        <v>75</v>
      </c>
      <c r="R187" s="11" t="s">
        <v>1739</v>
      </c>
    </row>
    <row r="188" spans="1:18" x14ac:dyDescent="0.25">
      <c r="A188" s="6">
        <v>187</v>
      </c>
      <c r="B188" s="7" t="s">
        <v>933</v>
      </c>
      <c r="C188" s="7" t="s">
        <v>1118</v>
      </c>
      <c r="D188" s="7" t="s">
        <v>1068</v>
      </c>
      <c r="E188" s="8" t="s">
        <v>60</v>
      </c>
      <c r="F188" s="7" t="s">
        <v>1119</v>
      </c>
      <c r="G188" s="7" t="s">
        <v>1120</v>
      </c>
      <c r="H188" s="7" t="s">
        <v>1121</v>
      </c>
      <c r="I188" s="7" t="s">
        <v>1122</v>
      </c>
      <c r="J188" s="7" t="s">
        <v>83</v>
      </c>
      <c r="K188" s="7" t="s">
        <v>66</v>
      </c>
      <c r="L188" s="12" t="s">
        <v>75</v>
      </c>
      <c r="M188" s="7" t="s">
        <v>68</v>
      </c>
      <c r="N188" s="7" t="s">
        <v>68</v>
      </c>
      <c r="O188" s="7" t="s">
        <v>946</v>
      </c>
      <c r="P188" s="7" t="s">
        <v>1738</v>
      </c>
      <c r="R188" s="7" t="s">
        <v>171</v>
      </c>
    </row>
    <row r="189" spans="1:18" x14ac:dyDescent="0.25">
      <c r="A189" s="10">
        <v>188</v>
      </c>
      <c r="B189" s="11" t="s">
        <v>933</v>
      </c>
      <c r="C189" s="11" t="s">
        <v>1123</v>
      </c>
      <c r="D189" s="11" t="s">
        <v>1068</v>
      </c>
      <c r="E189" s="8" t="s">
        <v>60</v>
      </c>
      <c r="F189" s="11" t="s">
        <v>1124</v>
      </c>
      <c r="G189" s="11" t="s">
        <v>1125</v>
      </c>
      <c r="H189" s="11" t="s">
        <v>938</v>
      </c>
      <c r="I189" s="11" t="s">
        <v>1126</v>
      </c>
      <c r="J189" s="11" t="s">
        <v>90</v>
      </c>
      <c r="K189" s="11" t="s">
        <v>66</v>
      </c>
      <c r="L189" s="9" t="s">
        <v>67</v>
      </c>
      <c r="M189" s="11" t="s">
        <v>68</v>
      </c>
      <c r="N189" s="11" t="s">
        <v>68</v>
      </c>
      <c r="O189" s="11" t="s">
        <v>1127</v>
      </c>
      <c r="P189" s="11" t="s">
        <v>1738</v>
      </c>
      <c r="R189" s="11" t="s">
        <v>171</v>
      </c>
    </row>
    <row r="190" spans="1:18" x14ac:dyDescent="0.25">
      <c r="A190" s="6">
        <v>189</v>
      </c>
      <c r="B190" s="7" t="s">
        <v>1128</v>
      </c>
      <c r="C190" s="7" t="s">
        <v>1129</v>
      </c>
      <c r="D190" s="7" t="s">
        <v>1130</v>
      </c>
      <c r="E190" s="13" t="s">
        <v>78</v>
      </c>
      <c r="F190" s="7" t="s">
        <v>1131</v>
      </c>
      <c r="G190" s="7" t="s">
        <v>1132</v>
      </c>
      <c r="H190" s="7" t="s">
        <v>1133</v>
      </c>
      <c r="I190" s="7" t="s">
        <v>1134</v>
      </c>
      <c r="J190" s="7" t="s">
        <v>83</v>
      </c>
      <c r="K190" s="7" t="s">
        <v>66</v>
      </c>
      <c r="L190" s="12" t="s">
        <v>75</v>
      </c>
      <c r="M190" s="7" t="s">
        <v>68</v>
      </c>
      <c r="N190" s="7" t="s">
        <v>68</v>
      </c>
      <c r="O190" s="7" t="s">
        <v>1135</v>
      </c>
      <c r="P190" s="7" t="s">
        <v>1737</v>
      </c>
      <c r="Q190" s="7" t="s">
        <v>75</v>
      </c>
      <c r="R190" s="7" t="s">
        <v>1737</v>
      </c>
    </row>
    <row r="191" spans="1:18" x14ac:dyDescent="0.25">
      <c r="A191" s="10">
        <v>190</v>
      </c>
      <c r="B191" s="11" t="s">
        <v>1128</v>
      </c>
      <c r="C191" s="11" t="s">
        <v>1136</v>
      </c>
      <c r="D191" s="11" t="s">
        <v>1130</v>
      </c>
      <c r="E191" s="13" t="s">
        <v>78</v>
      </c>
      <c r="F191" s="11" t="s">
        <v>1137</v>
      </c>
      <c r="G191" s="11" t="s">
        <v>87</v>
      </c>
      <c r="H191" s="11" t="s">
        <v>1138</v>
      </c>
      <c r="I191" s="11" t="s">
        <v>1139</v>
      </c>
      <c r="J191" s="11" t="s">
        <v>83</v>
      </c>
      <c r="K191" s="11" t="s">
        <v>66</v>
      </c>
      <c r="L191" s="12" t="s">
        <v>75</v>
      </c>
      <c r="M191" s="11" t="s">
        <v>68</v>
      </c>
      <c r="N191" s="11" t="s">
        <v>68</v>
      </c>
      <c r="O191" s="11" t="s">
        <v>1135</v>
      </c>
      <c r="P191" s="11" t="s">
        <v>1737</v>
      </c>
      <c r="Q191" s="11" t="s">
        <v>75</v>
      </c>
      <c r="R191" s="11" t="s">
        <v>1737</v>
      </c>
    </row>
    <row r="192" spans="1:18" x14ac:dyDescent="0.25">
      <c r="A192" s="6">
        <v>191</v>
      </c>
      <c r="B192" s="7" t="s">
        <v>1128</v>
      </c>
      <c r="C192" s="7" t="s">
        <v>1140</v>
      </c>
      <c r="D192" s="7" t="s">
        <v>1130</v>
      </c>
      <c r="E192" s="13" t="s">
        <v>78</v>
      </c>
      <c r="F192" s="7" t="s">
        <v>1141</v>
      </c>
      <c r="G192" s="7" t="s">
        <v>87</v>
      </c>
      <c r="H192" s="7" t="s">
        <v>1142</v>
      </c>
      <c r="I192" s="7" t="s">
        <v>1143</v>
      </c>
      <c r="J192" s="7" t="s">
        <v>83</v>
      </c>
      <c r="K192" s="7" t="s">
        <v>66</v>
      </c>
      <c r="L192" s="12" t="s">
        <v>75</v>
      </c>
      <c r="M192" s="7" t="s">
        <v>68</v>
      </c>
      <c r="N192" s="7" t="s">
        <v>68</v>
      </c>
      <c r="O192" s="7" t="s">
        <v>1135</v>
      </c>
      <c r="P192" s="7" t="s">
        <v>1737</v>
      </c>
      <c r="Q192" s="7" t="s">
        <v>75</v>
      </c>
      <c r="R192" s="7" t="s">
        <v>1737</v>
      </c>
    </row>
    <row r="193" spans="1:18" x14ac:dyDescent="0.25">
      <c r="A193" s="10">
        <v>192</v>
      </c>
      <c r="B193" s="11" t="s">
        <v>1128</v>
      </c>
      <c r="C193" s="11" t="s">
        <v>1144</v>
      </c>
      <c r="D193" s="11" t="s">
        <v>1130</v>
      </c>
      <c r="E193" s="13" t="s">
        <v>78</v>
      </c>
      <c r="F193" s="11" t="s">
        <v>1145</v>
      </c>
      <c r="G193" s="11" t="s">
        <v>1146</v>
      </c>
      <c r="H193" s="11" t="s">
        <v>1147</v>
      </c>
      <c r="I193" s="11" t="s">
        <v>1148</v>
      </c>
      <c r="J193" s="11" t="s">
        <v>83</v>
      </c>
      <c r="K193" s="11" t="s">
        <v>66</v>
      </c>
      <c r="L193" s="12" t="s">
        <v>75</v>
      </c>
      <c r="M193" s="11" t="s">
        <v>68</v>
      </c>
      <c r="N193" s="11" t="s">
        <v>68</v>
      </c>
      <c r="O193" s="11" t="s">
        <v>1149</v>
      </c>
      <c r="P193" s="11" t="s">
        <v>1737</v>
      </c>
      <c r="Q193" s="11" t="s">
        <v>75</v>
      </c>
      <c r="R193" s="11" t="s">
        <v>1737</v>
      </c>
    </row>
    <row r="194" spans="1:18" x14ac:dyDescent="0.25">
      <c r="A194" s="6">
        <v>193</v>
      </c>
      <c r="B194" s="7" t="s">
        <v>1128</v>
      </c>
      <c r="C194" s="7" t="s">
        <v>1150</v>
      </c>
      <c r="D194" s="7" t="s">
        <v>1130</v>
      </c>
      <c r="E194" s="8" t="s">
        <v>60</v>
      </c>
      <c r="F194" s="7" t="s">
        <v>1151</v>
      </c>
      <c r="G194" s="7" t="s">
        <v>1152</v>
      </c>
      <c r="H194" s="7" t="s">
        <v>1153</v>
      </c>
      <c r="I194" s="7" t="s">
        <v>1154</v>
      </c>
      <c r="J194" s="7" t="s">
        <v>90</v>
      </c>
      <c r="K194" s="7" t="s">
        <v>66</v>
      </c>
      <c r="L194" s="9" t="s">
        <v>67</v>
      </c>
      <c r="M194" s="7" t="s">
        <v>68</v>
      </c>
      <c r="N194" s="7" t="s">
        <v>68</v>
      </c>
      <c r="O194" s="7" t="s">
        <v>1155</v>
      </c>
      <c r="P194" s="7" t="s">
        <v>1738</v>
      </c>
      <c r="R194" s="7" t="s">
        <v>171</v>
      </c>
    </row>
    <row r="195" spans="1:18" x14ac:dyDescent="0.25">
      <c r="A195" s="10">
        <v>194</v>
      </c>
      <c r="B195" s="11" t="s">
        <v>1128</v>
      </c>
      <c r="C195" s="11" t="s">
        <v>1156</v>
      </c>
      <c r="D195" s="11" t="s">
        <v>1130</v>
      </c>
      <c r="E195" s="13" t="s">
        <v>78</v>
      </c>
      <c r="F195" s="11" t="s">
        <v>1157</v>
      </c>
      <c r="G195" s="11" t="s">
        <v>1158</v>
      </c>
      <c r="H195" s="11" t="s">
        <v>1159</v>
      </c>
      <c r="I195" s="11" t="s">
        <v>1160</v>
      </c>
      <c r="J195" s="11" t="s">
        <v>83</v>
      </c>
      <c r="K195" s="11" t="s">
        <v>98</v>
      </c>
      <c r="L195" s="12" t="s">
        <v>75</v>
      </c>
      <c r="M195" s="11" t="s">
        <v>68</v>
      </c>
      <c r="N195" s="11" t="s">
        <v>68</v>
      </c>
      <c r="O195" s="11" t="s">
        <v>1161</v>
      </c>
      <c r="P195" s="11" t="s">
        <v>1737</v>
      </c>
      <c r="Q195" s="11" t="s">
        <v>75</v>
      </c>
      <c r="R195" s="11" t="s">
        <v>1737</v>
      </c>
    </row>
    <row r="196" spans="1:18" x14ac:dyDescent="0.25">
      <c r="A196" s="6">
        <v>195</v>
      </c>
      <c r="B196" s="7" t="s">
        <v>1128</v>
      </c>
      <c r="C196" s="7" t="s">
        <v>1162</v>
      </c>
      <c r="D196" s="7" t="s">
        <v>1130</v>
      </c>
      <c r="E196" s="13" t="s">
        <v>78</v>
      </c>
      <c r="F196" s="7" t="s">
        <v>1163</v>
      </c>
      <c r="G196" s="7" t="s">
        <v>1164</v>
      </c>
      <c r="H196" s="7" t="s">
        <v>1165</v>
      </c>
      <c r="I196" s="7" t="s">
        <v>1166</v>
      </c>
      <c r="J196" s="7" t="s">
        <v>83</v>
      </c>
      <c r="K196" s="7" t="s">
        <v>98</v>
      </c>
      <c r="L196" s="12" t="s">
        <v>75</v>
      </c>
      <c r="M196" s="7" t="s">
        <v>68</v>
      </c>
      <c r="N196" s="7" t="s">
        <v>68</v>
      </c>
      <c r="O196" s="7" t="s">
        <v>1167</v>
      </c>
      <c r="P196" s="7" t="s">
        <v>1737</v>
      </c>
      <c r="Q196" s="7" t="s">
        <v>75</v>
      </c>
      <c r="R196" s="7" t="s">
        <v>1737</v>
      </c>
    </row>
    <row r="197" spans="1:18" x14ac:dyDescent="0.25">
      <c r="A197" s="10">
        <v>196</v>
      </c>
      <c r="B197" s="11" t="s">
        <v>1128</v>
      </c>
      <c r="C197" s="11" t="s">
        <v>1168</v>
      </c>
      <c r="D197" s="11" t="s">
        <v>1130</v>
      </c>
      <c r="E197" s="13" t="s">
        <v>78</v>
      </c>
      <c r="F197" s="11" t="s">
        <v>1169</v>
      </c>
      <c r="G197" s="11" t="s">
        <v>171</v>
      </c>
      <c r="H197" s="11" t="s">
        <v>1170</v>
      </c>
      <c r="I197" s="11" t="s">
        <v>1171</v>
      </c>
      <c r="J197" s="11" t="s">
        <v>90</v>
      </c>
      <c r="K197" s="11" t="s">
        <v>66</v>
      </c>
      <c r="L197" s="12" t="s">
        <v>75</v>
      </c>
      <c r="M197" s="11" t="s">
        <v>68</v>
      </c>
      <c r="N197" s="11" t="s">
        <v>68</v>
      </c>
      <c r="O197" s="11" t="s">
        <v>1172</v>
      </c>
      <c r="P197" s="11" t="s">
        <v>1737</v>
      </c>
      <c r="Q197" s="11" t="s">
        <v>75</v>
      </c>
      <c r="R197" s="11" t="s">
        <v>1737</v>
      </c>
    </row>
    <row r="198" spans="1:18" x14ac:dyDescent="0.25">
      <c r="A198" s="6">
        <v>197</v>
      </c>
      <c r="B198" s="7" t="s">
        <v>1128</v>
      </c>
      <c r="C198" s="7" t="s">
        <v>1173</v>
      </c>
      <c r="D198" s="7" t="s">
        <v>1174</v>
      </c>
      <c r="E198" s="13" t="s">
        <v>78</v>
      </c>
      <c r="F198" s="7" t="s">
        <v>1175</v>
      </c>
      <c r="G198" s="7" t="s">
        <v>1176</v>
      </c>
      <c r="H198" s="7" t="s">
        <v>1177</v>
      </c>
      <c r="I198" s="7" t="s">
        <v>1178</v>
      </c>
      <c r="J198" s="7" t="s">
        <v>65</v>
      </c>
      <c r="K198" s="7" t="s">
        <v>66</v>
      </c>
      <c r="L198" s="9" t="s">
        <v>67</v>
      </c>
      <c r="M198" s="7" t="s">
        <v>68</v>
      </c>
      <c r="N198" s="7" t="s">
        <v>68</v>
      </c>
      <c r="O198" s="7" t="s">
        <v>1179</v>
      </c>
      <c r="P198" s="7" t="s">
        <v>1737</v>
      </c>
      <c r="Q198" s="7" t="s">
        <v>67</v>
      </c>
      <c r="R198" s="7" t="s">
        <v>1737</v>
      </c>
    </row>
    <row r="199" spans="1:18" x14ac:dyDescent="0.25">
      <c r="A199" s="10">
        <v>198</v>
      </c>
      <c r="B199" s="11" t="s">
        <v>1128</v>
      </c>
      <c r="C199" s="11" t="s">
        <v>1180</v>
      </c>
      <c r="D199" s="11" t="s">
        <v>1174</v>
      </c>
      <c r="E199" s="8" t="s">
        <v>60</v>
      </c>
      <c r="F199" s="11" t="s">
        <v>1181</v>
      </c>
      <c r="G199" s="11" t="s">
        <v>1182</v>
      </c>
      <c r="H199" s="11" t="s">
        <v>1183</v>
      </c>
      <c r="I199" s="11" t="s">
        <v>1184</v>
      </c>
      <c r="J199" s="11" t="s">
        <v>65</v>
      </c>
      <c r="K199" s="11" t="s">
        <v>66</v>
      </c>
      <c r="L199" s="9" t="s">
        <v>67</v>
      </c>
      <c r="M199" s="11" t="s">
        <v>68</v>
      </c>
      <c r="N199" s="11" t="s">
        <v>68</v>
      </c>
      <c r="O199" s="11" t="s">
        <v>1185</v>
      </c>
      <c r="P199" s="11" t="s">
        <v>1737</v>
      </c>
      <c r="Q199" s="11" t="s">
        <v>67</v>
      </c>
      <c r="R199" s="11" t="s">
        <v>1737</v>
      </c>
    </row>
    <row r="200" spans="1:18" x14ac:dyDescent="0.25">
      <c r="A200" s="6">
        <v>199</v>
      </c>
      <c r="B200" s="7" t="s">
        <v>1128</v>
      </c>
      <c r="C200" s="7" t="s">
        <v>1186</v>
      </c>
      <c r="D200" s="7" t="s">
        <v>1174</v>
      </c>
      <c r="E200" s="8" t="s">
        <v>60</v>
      </c>
      <c r="F200" s="7" t="s">
        <v>1187</v>
      </c>
      <c r="G200" s="7" t="s">
        <v>1114</v>
      </c>
      <c r="H200" s="7" t="s">
        <v>1188</v>
      </c>
      <c r="I200" s="7" t="s">
        <v>1189</v>
      </c>
      <c r="J200" s="7" t="s">
        <v>83</v>
      </c>
      <c r="K200" s="7" t="s">
        <v>66</v>
      </c>
      <c r="L200" s="12" t="s">
        <v>75</v>
      </c>
      <c r="M200" s="7" t="s">
        <v>68</v>
      </c>
      <c r="N200" s="7" t="s">
        <v>68</v>
      </c>
      <c r="O200" s="7" t="s">
        <v>1190</v>
      </c>
      <c r="P200" s="7" t="s">
        <v>1737</v>
      </c>
      <c r="Q200" s="7" t="s">
        <v>67</v>
      </c>
      <c r="R200" s="7" t="s">
        <v>1739</v>
      </c>
    </row>
    <row r="201" spans="1:18" x14ac:dyDescent="0.25">
      <c r="A201" s="10">
        <v>200</v>
      </c>
      <c r="B201" s="11" t="s">
        <v>1128</v>
      </c>
      <c r="C201" s="11" t="s">
        <v>1191</v>
      </c>
      <c r="D201" s="11" t="s">
        <v>1174</v>
      </c>
      <c r="E201" s="13" t="s">
        <v>78</v>
      </c>
      <c r="F201" s="11" t="s">
        <v>1192</v>
      </c>
      <c r="G201" s="11" t="s">
        <v>171</v>
      </c>
      <c r="H201" s="11" t="s">
        <v>1193</v>
      </c>
      <c r="I201" s="11" t="s">
        <v>1194</v>
      </c>
      <c r="J201" s="11" t="s">
        <v>65</v>
      </c>
      <c r="K201" s="11" t="s">
        <v>544</v>
      </c>
      <c r="L201" s="12" t="s">
        <v>75</v>
      </c>
      <c r="M201" s="11" t="s">
        <v>68</v>
      </c>
      <c r="N201" s="11" t="s">
        <v>68</v>
      </c>
      <c r="O201" s="11" t="s">
        <v>1195</v>
      </c>
      <c r="P201" s="11" t="s">
        <v>1737</v>
      </c>
      <c r="Q201" s="11" t="s">
        <v>75</v>
      </c>
      <c r="R201" s="11" t="s">
        <v>1737</v>
      </c>
    </row>
    <row r="202" spans="1:18" x14ac:dyDescent="0.25">
      <c r="A202" s="6">
        <v>201</v>
      </c>
      <c r="B202" s="7" t="s">
        <v>1128</v>
      </c>
      <c r="C202" s="7" t="s">
        <v>1196</v>
      </c>
      <c r="D202" s="7" t="s">
        <v>1174</v>
      </c>
      <c r="E202" s="8" t="s">
        <v>60</v>
      </c>
      <c r="F202" s="7" t="s">
        <v>1197</v>
      </c>
      <c r="G202" s="7" t="s">
        <v>1198</v>
      </c>
      <c r="H202" s="7" t="s">
        <v>1199</v>
      </c>
      <c r="I202" s="7" t="s">
        <v>1200</v>
      </c>
      <c r="J202" s="7" t="s">
        <v>65</v>
      </c>
      <c r="K202" s="7" t="s">
        <v>66</v>
      </c>
      <c r="L202" s="12" t="s">
        <v>75</v>
      </c>
      <c r="M202" s="7" t="s">
        <v>68</v>
      </c>
      <c r="N202" s="7" t="s">
        <v>68</v>
      </c>
      <c r="O202" s="7" t="s">
        <v>1201</v>
      </c>
      <c r="P202" s="7" t="s">
        <v>1738</v>
      </c>
      <c r="R202" s="7" t="s">
        <v>171</v>
      </c>
    </row>
    <row r="203" spans="1:18" x14ac:dyDescent="0.25">
      <c r="A203" s="10">
        <v>202</v>
      </c>
      <c r="B203" s="11" t="s">
        <v>1128</v>
      </c>
      <c r="C203" s="11" t="s">
        <v>1202</v>
      </c>
      <c r="D203" s="11" t="s">
        <v>1174</v>
      </c>
      <c r="E203" s="13" t="s">
        <v>78</v>
      </c>
      <c r="F203" s="11" t="s">
        <v>1203</v>
      </c>
      <c r="G203" s="11" t="s">
        <v>171</v>
      </c>
      <c r="H203" s="11" t="s">
        <v>1204</v>
      </c>
      <c r="I203" s="11" t="s">
        <v>1205</v>
      </c>
      <c r="J203" s="11" t="s">
        <v>90</v>
      </c>
      <c r="K203" s="11" t="s">
        <v>66</v>
      </c>
      <c r="L203" s="12" t="s">
        <v>75</v>
      </c>
      <c r="M203" s="11" t="s">
        <v>68</v>
      </c>
      <c r="N203" s="11" t="s">
        <v>68</v>
      </c>
      <c r="O203" s="11" t="s">
        <v>1206</v>
      </c>
      <c r="P203" s="11" t="s">
        <v>1737</v>
      </c>
      <c r="Q203" s="11" t="s">
        <v>75</v>
      </c>
      <c r="R203" s="11" t="s">
        <v>1737</v>
      </c>
    </row>
    <row r="204" spans="1:18" x14ac:dyDescent="0.25">
      <c r="A204" s="6">
        <v>203</v>
      </c>
      <c r="B204" s="7" t="s">
        <v>1207</v>
      </c>
      <c r="C204" s="7" t="s">
        <v>1208</v>
      </c>
      <c r="D204" s="7" t="s">
        <v>1209</v>
      </c>
      <c r="E204" s="15" t="s">
        <v>714</v>
      </c>
      <c r="F204" s="7" t="s">
        <v>1210</v>
      </c>
      <c r="G204" s="7" t="s">
        <v>1211</v>
      </c>
      <c r="H204" s="7" t="s">
        <v>1212</v>
      </c>
      <c r="I204" s="7" t="s">
        <v>1213</v>
      </c>
      <c r="J204" s="7" t="s">
        <v>65</v>
      </c>
      <c r="K204" s="7" t="s">
        <v>544</v>
      </c>
      <c r="L204" s="9" t="s">
        <v>67</v>
      </c>
      <c r="M204" s="7" t="s">
        <v>68</v>
      </c>
      <c r="N204" s="7" t="s">
        <v>68</v>
      </c>
      <c r="O204" s="7" t="s">
        <v>719</v>
      </c>
      <c r="P204" s="7" t="s">
        <v>1737</v>
      </c>
      <c r="Q204" s="7" t="s">
        <v>67</v>
      </c>
      <c r="R204" s="7" t="s">
        <v>1737</v>
      </c>
    </row>
    <row r="205" spans="1:18" x14ac:dyDescent="0.25">
      <c r="A205" s="10">
        <v>204</v>
      </c>
      <c r="B205" s="11" t="s">
        <v>1207</v>
      </c>
      <c r="C205" s="11" t="s">
        <v>1214</v>
      </c>
      <c r="D205" s="11" t="s">
        <v>1209</v>
      </c>
      <c r="E205" s="15" t="s">
        <v>714</v>
      </c>
      <c r="F205" s="11" t="s">
        <v>1215</v>
      </c>
      <c r="G205" s="11" t="s">
        <v>171</v>
      </c>
      <c r="H205" s="11" t="s">
        <v>1216</v>
      </c>
      <c r="I205" s="11" t="s">
        <v>1217</v>
      </c>
      <c r="J205" s="11" t="s">
        <v>83</v>
      </c>
      <c r="K205" s="11" t="s">
        <v>544</v>
      </c>
      <c r="L205" s="9" t="s">
        <v>67</v>
      </c>
      <c r="M205" s="11" t="s">
        <v>68</v>
      </c>
      <c r="N205" s="11" t="s">
        <v>68</v>
      </c>
      <c r="O205" s="11" t="s">
        <v>719</v>
      </c>
      <c r="P205" s="11" t="s">
        <v>1737</v>
      </c>
      <c r="Q205" s="11" t="s">
        <v>67</v>
      </c>
      <c r="R205" s="11" t="s">
        <v>1737</v>
      </c>
    </row>
    <row r="206" spans="1:18" x14ac:dyDescent="0.25">
      <c r="A206" s="6">
        <v>205</v>
      </c>
      <c r="B206" s="7" t="s">
        <v>1207</v>
      </c>
      <c r="C206" s="7" t="s">
        <v>1218</v>
      </c>
      <c r="D206" s="7" t="s">
        <v>1209</v>
      </c>
      <c r="E206" s="15" t="s">
        <v>714</v>
      </c>
      <c r="F206" s="7" t="s">
        <v>1219</v>
      </c>
      <c r="G206" s="7" t="s">
        <v>171</v>
      </c>
      <c r="H206" s="7" t="s">
        <v>1220</v>
      </c>
      <c r="I206" s="7" t="s">
        <v>1221</v>
      </c>
      <c r="J206" s="7" t="s">
        <v>65</v>
      </c>
      <c r="K206" s="7" t="s">
        <v>544</v>
      </c>
      <c r="L206" s="9" t="s">
        <v>67</v>
      </c>
      <c r="M206" s="7" t="s">
        <v>68</v>
      </c>
      <c r="N206" s="7" t="s">
        <v>68</v>
      </c>
      <c r="O206" s="7" t="s">
        <v>719</v>
      </c>
      <c r="P206" s="7" t="s">
        <v>1737</v>
      </c>
      <c r="Q206" s="7" t="s">
        <v>67</v>
      </c>
      <c r="R206" s="7" t="s">
        <v>1737</v>
      </c>
    </row>
    <row r="207" spans="1:18" x14ac:dyDescent="0.25">
      <c r="A207" s="10">
        <v>206</v>
      </c>
      <c r="B207" s="11" t="s">
        <v>1207</v>
      </c>
      <c r="C207" s="11" t="s">
        <v>1222</v>
      </c>
      <c r="D207" s="11" t="s">
        <v>1209</v>
      </c>
      <c r="E207" s="13" t="s">
        <v>78</v>
      </c>
      <c r="F207" s="11" t="s">
        <v>1223</v>
      </c>
      <c r="G207" s="11" t="s">
        <v>1224</v>
      </c>
      <c r="H207" s="11" t="s">
        <v>1225</v>
      </c>
      <c r="I207" s="11" t="s">
        <v>1226</v>
      </c>
      <c r="J207" s="11" t="s">
        <v>65</v>
      </c>
      <c r="K207" s="11" t="s">
        <v>98</v>
      </c>
      <c r="L207" s="12" t="s">
        <v>75</v>
      </c>
      <c r="M207" s="11" t="s">
        <v>68</v>
      </c>
      <c r="N207" s="11" t="s">
        <v>68</v>
      </c>
      <c r="O207" s="11" t="s">
        <v>1223</v>
      </c>
      <c r="P207" s="11" t="s">
        <v>1737</v>
      </c>
      <c r="Q207" s="11" t="s">
        <v>75</v>
      </c>
      <c r="R207" s="11" t="s">
        <v>1737</v>
      </c>
    </row>
    <row r="208" spans="1:18" x14ac:dyDescent="0.25">
      <c r="A208" s="6">
        <v>207</v>
      </c>
      <c r="B208" s="7" t="s">
        <v>1207</v>
      </c>
      <c r="C208" s="7" t="s">
        <v>1227</v>
      </c>
      <c r="D208" s="7" t="s">
        <v>1209</v>
      </c>
      <c r="E208" s="13" t="s">
        <v>78</v>
      </c>
      <c r="F208" s="7" t="s">
        <v>1228</v>
      </c>
      <c r="G208" s="7" t="s">
        <v>171</v>
      </c>
      <c r="H208" s="7" t="s">
        <v>1229</v>
      </c>
      <c r="I208" s="7" t="s">
        <v>1230</v>
      </c>
      <c r="J208" s="7" t="s">
        <v>65</v>
      </c>
      <c r="K208" s="7" t="s">
        <v>98</v>
      </c>
      <c r="L208" s="9" t="s">
        <v>67</v>
      </c>
      <c r="M208" s="7" t="s">
        <v>68</v>
      </c>
      <c r="N208" s="7" t="s">
        <v>68</v>
      </c>
      <c r="O208" s="7" t="s">
        <v>1231</v>
      </c>
      <c r="P208" s="7" t="s">
        <v>1737</v>
      </c>
      <c r="Q208" s="7" t="s">
        <v>67</v>
      </c>
      <c r="R208" s="7" t="s">
        <v>1737</v>
      </c>
    </row>
    <row r="209" spans="1:18" x14ac:dyDescent="0.25">
      <c r="A209" s="10">
        <v>208</v>
      </c>
      <c r="B209" s="11" t="s">
        <v>1207</v>
      </c>
      <c r="C209" s="11" t="s">
        <v>1232</v>
      </c>
      <c r="D209" s="11" t="s">
        <v>1209</v>
      </c>
      <c r="E209" s="13" t="s">
        <v>78</v>
      </c>
      <c r="F209" s="11" t="s">
        <v>1233</v>
      </c>
      <c r="G209" s="11" t="s">
        <v>1234</v>
      </c>
      <c r="H209" s="11" t="s">
        <v>1235</v>
      </c>
      <c r="I209" s="11" t="s">
        <v>1236</v>
      </c>
      <c r="J209" s="11" t="s">
        <v>65</v>
      </c>
      <c r="K209" s="11" t="s">
        <v>98</v>
      </c>
      <c r="L209" s="9" t="s">
        <v>67</v>
      </c>
      <c r="M209" s="11" t="s">
        <v>68</v>
      </c>
      <c r="N209" s="11" t="s">
        <v>68</v>
      </c>
      <c r="O209" s="11" t="s">
        <v>1237</v>
      </c>
      <c r="P209" s="11" t="s">
        <v>1737</v>
      </c>
      <c r="Q209" s="11" t="s">
        <v>67</v>
      </c>
      <c r="R209" s="11" t="s">
        <v>1737</v>
      </c>
    </row>
    <row r="210" spans="1:18" x14ac:dyDescent="0.25">
      <c r="A210" s="6">
        <v>209</v>
      </c>
      <c r="B210" s="7" t="s">
        <v>1207</v>
      </c>
      <c r="C210" s="7" t="s">
        <v>1238</v>
      </c>
      <c r="D210" s="7" t="s">
        <v>1209</v>
      </c>
      <c r="E210" s="13" t="s">
        <v>78</v>
      </c>
      <c r="F210" s="7" t="s">
        <v>1239</v>
      </c>
      <c r="G210" s="7" t="s">
        <v>1240</v>
      </c>
      <c r="H210" s="7" t="s">
        <v>1241</v>
      </c>
      <c r="I210" s="7" t="s">
        <v>1242</v>
      </c>
      <c r="J210" s="7" t="s">
        <v>83</v>
      </c>
      <c r="K210" s="7" t="s">
        <v>544</v>
      </c>
      <c r="L210" s="12" t="s">
        <v>75</v>
      </c>
      <c r="M210" s="7" t="s">
        <v>68</v>
      </c>
      <c r="N210" s="7" t="s">
        <v>68</v>
      </c>
      <c r="O210" s="7" t="s">
        <v>1243</v>
      </c>
      <c r="P210" s="7" t="s">
        <v>1737</v>
      </c>
      <c r="Q210" s="7" t="s">
        <v>75</v>
      </c>
      <c r="R210" s="7" t="s">
        <v>1737</v>
      </c>
    </row>
    <row r="211" spans="1:18" x14ac:dyDescent="0.25">
      <c r="A211" s="10">
        <v>210</v>
      </c>
      <c r="B211" s="11" t="s">
        <v>1207</v>
      </c>
      <c r="C211" s="11" t="s">
        <v>1244</v>
      </c>
      <c r="D211" s="11" t="s">
        <v>1209</v>
      </c>
      <c r="E211" s="13" t="s">
        <v>78</v>
      </c>
      <c r="F211" s="11" t="s">
        <v>1245</v>
      </c>
      <c r="G211" s="11" t="s">
        <v>1246</v>
      </c>
      <c r="H211" s="11" t="s">
        <v>1247</v>
      </c>
      <c r="I211" s="11" t="s">
        <v>1248</v>
      </c>
      <c r="J211" s="11" t="s">
        <v>65</v>
      </c>
      <c r="K211" s="11" t="s">
        <v>544</v>
      </c>
      <c r="L211" s="12" t="s">
        <v>75</v>
      </c>
      <c r="M211" s="11" t="s">
        <v>68</v>
      </c>
      <c r="N211" s="11" t="s">
        <v>68</v>
      </c>
      <c r="O211" s="11" t="s">
        <v>1249</v>
      </c>
      <c r="P211" s="11" t="s">
        <v>1737</v>
      </c>
      <c r="Q211" s="11" t="s">
        <v>75</v>
      </c>
      <c r="R211" s="11" t="s">
        <v>1737</v>
      </c>
    </row>
    <row r="212" spans="1:18" x14ac:dyDescent="0.25">
      <c r="A212" s="6">
        <v>211</v>
      </c>
      <c r="B212" s="7" t="s">
        <v>1207</v>
      </c>
      <c r="C212" s="7" t="s">
        <v>1250</v>
      </c>
      <c r="D212" s="7" t="s">
        <v>1209</v>
      </c>
      <c r="E212" s="13" t="s">
        <v>78</v>
      </c>
      <c r="F212" s="7" t="s">
        <v>1251</v>
      </c>
      <c r="G212" s="7" t="s">
        <v>1252</v>
      </c>
      <c r="H212" s="7" t="s">
        <v>1253</v>
      </c>
      <c r="I212" s="7" t="s">
        <v>1254</v>
      </c>
      <c r="J212" s="7" t="s">
        <v>83</v>
      </c>
      <c r="K212" s="7" t="s">
        <v>544</v>
      </c>
      <c r="L212" s="12" t="s">
        <v>75</v>
      </c>
      <c r="M212" s="7" t="s">
        <v>68</v>
      </c>
      <c r="N212" s="7" t="s">
        <v>68</v>
      </c>
      <c r="O212" s="7" t="s">
        <v>1255</v>
      </c>
      <c r="P212" s="7" t="s">
        <v>1737</v>
      </c>
      <c r="Q212" s="7" t="s">
        <v>75</v>
      </c>
      <c r="R212" s="7" t="s">
        <v>1737</v>
      </c>
    </row>
    <row r="213" spans="1:18" x14ac:dyDescent="0.25">
      <c r="A213" s="10">
        <v>212</v>
      </c>
      <c r="B213" s="11" t="s">
        <v>1207</v>
      </c>
      <c r="C213" s="11" t="s">
        <v>1256</v>
      </c>
      <c r="D213" s="11" t="s">
        <v>1209</v>
      </c>
      <c r="E213" s="13" t="s">
        <v>78</v>
      </c>
      <c r="F213" s="11" t="s">
        <v>1257</v>
      </c>
      <c r="G213" s="11" t="s">
        <v>87</v>
      </c>
      <c r="H213" s="11" t="s">
        <v>1258</v>
      </c>
      <c r="I213" s="11" t="s">
        <v>1259</v>
      </c>
      <c r="J213" s="11" t="s">
        <v>83</v>
      </c>
      <c r="K213" s="11" t="s">
        <v>544</v>
      </c>
      <c r="L213" s="9" t="s">
        <v>67</v>
      </c>
      <c r="M213" s="11" t="s">
        <v>68</v>
      </c>
      <c r="N213" s="11" t="s">
        <v>68</v>
      </c>
      <c r="O213" s="11" t="s">
        <v>1260</v>
      </c>
      <c r="P213" s="11" t="s">
        <v>1737</v>
      </c>
      <c r="Q213" s="11" t="s">
        <v>67</v>
      </c>
      <c r="R213" s="11" t="s">
        <v>1737</v>
      </c>
    </row>
    <row r="214" spans="1:18" x14ac:dyDescent="0.25">
      <c r="A214" s="6">
        <v>213</v>
      </c>
      <c r="B214" s="7" t="s">
        <v>1207</v>
      </c>
      <c r="C214" s="7" t="s">
        <v>1261</v>
      </c>
      <c r="D214" s="7" t="s">
        <v>1209</v>
      </c>
      <c r="E214" s="13" t="s">
        <v>78</v>
      </c>
      <c r="F214" s="7" t="s">
        <v>1262</v>
      </c>
      <c r="G214" s="7" t="s">
        <v>1263</v>
      </c>
      <c r="H214" s="7" t="s">
        <v>1264</v>
      </c>
      <c r="I214" s="7" t="s">
        <v>1265</v>
      </c>
      <c r="J214" s="7" t="s">
        <v>83</v>
      </c>
      <c r="K214" s="7" t="s">
        <v>544</v>
      </c>
      <c r="L214" s="12" t="s">
        <v>75</v>
      </c>
      <c r="M214" s="7" t="s">
        <v>68</v>
      </c>
      <c r="N214" s="7" t="s">
        <v>68</v>
      </c>
      <c r="O214" s="7" t="s">
        <v>1266</v>
      </c>
      <c r="P214" s="7" t="s">
        <v>1737</v>
      </c>
      <c r="Q214" s="7" t="s">
        <v>75</v>
      </c>
      <c r="R214" s="7" t="s">
        <v>1737</v>
      </c>
    </row>
    <row r="215" spans="1:18" x14ac:dyDescent="0.25">
      <c r="A215" s="10">
        <v>214</v>
      </c>
      <c r="B215" s="11" t="s">
        <v>1207</v>
      </c>
      <c r="C215" s="11" t="s">
        <v>1267</v>
      </c>
      <c r="D215" s="11" t="s">
        <v>1209</v>
      </c>
      <c r="E215" s="13" t="s">
        <v>78</v>
      </c>
      <c r="F215" s="11" t="s">
        <v>1268</v>
      </c>
      <c r="G215" s="11" t="s">
        <v>128</v>
      </c>
      <c r="H215" s="11" t="s">
        <v>1269</v>
      </c>
      <c r="I215" s="11" t="s">
        <v>1270</v>
      </c>
      <c r="J215" s="11" t="s">
        <v>90</v>
      </c>
      <c r="K215" s="11" t="s">
        <v>544</v>
      </c>
      <c r="L215" s="9" t="s">
        <v>67</v>
      </c>
      <c r="M215" s="11" t="s">
        <v>68</v>
      </c>
      <c r="N215" s="11" t="s">
        <v>68</v>
      </c>
      <c r="O215" s="11" t="s">
        <v>1271</v>
      </c>
      <c r="P215" s="11" t="s">
        <v>1737</v>
      </c>
      <c r="Q215" s="11" t="s">
        <v>67</v>
      </c>
      <c r="R215" s="11" t="s">
        <v>1737</v>
      </c>
    </row>
    <row r="216" spans="1:18" x14ac:dyDescent="0.25">
      <c r="A216" s="6">
        <v>215</v>
      </c>
      <c r="B216" s="7" t="s">
        <v>1272</v>
      </c>
      <c r="C216" s="7" t="s">
        <v>1273</v>
      </c>
      <c r="D216" s="7" t="s">
        <v>1274</v>
      </c>
      <c r="E216" s="13" t="s">
        <v>78</v>
      </c>
      <c r="F216" s="7" t="s">
        <v>1275</v>
      </c>
      <c r="G216" s="7" t="s">
        <v>1276</v>
      </c>
      <c r="H216" s="7" t="s">
        <v>1277</v>
      </c>
      <c r="I216" s="7" t="s">
        <v>1278</v>
      </c>
      <c r="J216" s="7" t="s">
        <v>65</v>
      </c>
      <c r="K216" s="7" t="s">
        <v>98</v>
      </c>
      <c r="L216" s="12" t="s">
        <v>75</v>
      </c>
      <c r="M216" s="7" t="s">
        <v>68</v>
      </c>
      <c r="N216" s="7" t="s">
        <v>68</v>
      </c>
      <c r="O216" s="7" t="s">
        <v>1279</v>
      </c>
      <c r="P216" s="7" t="s">
        <v>1737</v>
      </c>
      <c r="Q216" s="7" t="s">
        <v>75</v>
      </c>
      <c r="R216" s="7" t="s">
        <v>1737</v>
      </c>
    </row>
    <row r="217" spans="1:18" x14ac:dyDescent="0.25">
      <c r="A217" s="10">
        <v>216</v>
      </c>
      <c r="B217" s="11" t="s">
        <v>1272</v>
      </c>
      <c r="C217" s="11" t="s">
        <v>1280</v>
      </c>
      <c r="D217" s="11" t="s">
        <v>1274</v>
      </c>
      <c r="E217" s="8" t="s">
        <v>60</v>
      </c>
      <c r="F217" s="11" t="s">
        <v>1281</v>
      </c>
      <c r="G217" s="11" t="s">
        <v>1282</v>
      </c>
      <c r="H217" s="11" t="s">
        <v>1283</v>
      </c>
      <c r="I217" s="11" t="s">
        <v>1284</v>
      </c>
      <c r="J217" s="11" t="s">
        <v>65</v>
      </c>
      <c r="K217" s="11" t="s">
        <v>66</v>
      </c>
      <c r="L217" s="12" t="s">
        <v>75</v>
      </c>
      <c r="M217" s="11" t="s">
        <v>68</v>
      </c>
      <c r="N217" s="11" t="s">
        <v>68</v>
      </c>
      <c r="O217" s="11" t="s">
        <v>1285</v>
      </c>
      <c r="P217" s="11" t="s">
        <v>1737</v>
      </c>
      <c r="Q217" s="11" t="s">
        <v>67</v>
      </c>
      <c r="R217" s="11" t="s">
        <v>1739</v>
      </c>
    </row>
    <row r="218" spans="1:18" x14ac:dyDescent="0.25">
      <c r="A218" s="6">
        <v>217</v>
      </c>
      <c r="B218" s="7" t="s">
        <v>1272</v>
      </c>
      <c r="C218" s="7" t="s">
        <v>1286</v>
      </c>
      <c r="D218" s="7" t="s">
        <v>1274</v>
      </c>
      <c r="E218" s="15" t="s">
        <v>714</v>
      </c>
      <c r="F218" s="7" t="s">
        <v>1287</v>
      </c>
      <c r="G218" s="7" t="s">
        <v>1288</v>
      </c>
      <c r="H218" s="7" t="s">
        <v>1289</v>
      </c>
      <c r="I218" s="7" t="s">
        <v>1290</v>
      </c>
      <c r="J218" s="7" t="s">
        <v>65</v>
      </c>
      <c r="K218" s="7" t="s">
        <v>98</v>
      </c>
      <c r="L218" s="9" t="s">
        <v>67</v>
      </c>
      <c r="M218" s="7" t="s">
        <v>68</v>
      </c>
      <c r="N218" s="7" t="s">
        <v>68</v>
      </c>
      <c r="O218" s="7" t="s">
        <v>719</v>
      </c>
      <c r="P218" s="7" t="s">
        <v>1737</v>
      </c>
      <c r="Q218" s="7" t="s">
        <v>67</v>
      </c>
      <c r="R218" s="7" t="s">
        <v>1737</v>
      </c>
    </row>
    <row r="219" spans="1:18" x14ac:dyDescent="0.25">
      <c r="A219" s="10">
        <v>218</v>
      </c>
      <c r="B219" s="11" t="s">
        <v>1272</v>
      </c>
      <c r="C219" s="11" t="s">
        <v>1291</v>
      </c>
      <c r="D219" s="11" t="s">
        <v>1274</v>
      </c>
      <c r="E219" s="8" t="s">
        <v>60</v>
      </c>
      <c r="F219" s="11" t="s">
        <v>1292</v>
      </c>
      <c r="G219" s="11" t="s">
        <v>1293</v>
      </c>
      <c r="H219" s="11" t="s">
        <v>1294</v>
      </c>
      <c r="I219" s="11" t="s">
        <v>1295</v>
      </c>
      <c r="J219" s="11" t="s">
        <v>65</v>
      </c>
      <c r="K219" s="11" t="s">
        <v>98</v>
      </c>
      <c r="L219" s="12" t="s">
        <v>75</v>
      </c>
      <c r="M219" s="11" t="s">
        <v>68</v>
      </c>
      <c r="N219" s="11" t="s">
        <v>68</v>
      </c>
      <c r="O219" s="11" t="s">
        <v>532</v>
      </c>
      <c r="P219" s="11" t="s">
        <v>1738</v>
      </c>
      <c r="R219" s="11" t="s">
        <v>171</v>
      </c>
    </row>
    <row r="220" spans="1:18" x14ac:dyDescent="0.25">
      <c r="A220" s="6">
        <v>219</v>
      </c>
      <c r="B220" s="7" t="s">
        <v>1272</v>
      </c>
      <c r="C220" s="7" t="s">
        <v>1296</v>
      </c>
      <c r="D220" s="7" t="s">
        <v>1274</v>
      </c>
      <c r="E220" s="8" t="s">
        <v>60</v>
      </c>
      <c r="F220" s="7" t="s">
        <v>1297</v>
      </c>
      <c r="G220" s="7" t="s">
        <v>1298</v>
      </c>
      <c r="H220" s="7" t="s">
        <v>1299</v>
      </c>
      <c r="I220" s="7" t="s">
        <v>1300</v>
      </c>
      <c r="J220" s="7" t="s">
        <v>65</v>
      </c>
      <c r="K220" s="7" t="s">
        <v>98</v>
      </c>
      <c r="L220" s="12" t="s">
        <v>75</v>
      </c>
      <c r="M220" s="7" t="s">
        <v>68</v>
      </c>
      <c r="N220" s="7" t="s">
        <v>68</v>
      </c>
      <c r="O220" s="7" t="s">
        <v>1301</v>
      </c>
      <c r="P220" s="7" t="s">
        <v>1738</v>
      </c>
      <c r="R220" s="7" t="s">
        <v>171</v>
      </c>
    </row>
    <row r="221" spans="1:18" x14ac:dyDescent="0.25">
      <c r="A221" s="10">
        <v>220</v>
      </c>
      <c r="B221" s="11" t="s">
        <v>1272</v>
      </c>
      <c r="C221" s="11" t="s">
        <v>1302</v>
      </c>
      <c r="D221" s="11" t="s">
        <v>1274</v>
      </c>
      <c r="E221" s="8" t="s">
        <v>60</v>
      </c>
      <c r="F221" s="11" t="s">
        <v>1303</v>
      </c>
      <c r="G221" s="11" t="s">
        <v>1304</v>
      </c>
      <c r="H221" s="11" t="s">
        <v>1305</v>
      </c>
      <c r="I221" s="11" t="s">
        <v>1306</v>
      </c>
      <c r="J221" s="11" t="s">
        <v>65</v>
      </c>
      <c r="K221" s="11" t="s">
        <v>66</v>
      </c>
      <c r="L221" s="12" t="s">
        <v>75</v>
      </c>
      <c r="M221" s="11" t="s">
        <v>68</v>
      </c>
      <c r="N221" s="11" t="s">
        <v>68</v>
      </c>
      <c r="O221" s="11" t="s">
        <v>1307</v>
      </c>
      <c r="P221" s="11" t="s">
        <v>1738</v>
      </c>
      <c r="R221" s="11" t="s">
        <v>171</v>
      </c>
    </row>
    <row r="222" spans="1:18" x14ac:dyDescent="0.25">
      <c r="A222" s="6">
        <v>221</v>
      </c>
      <c r="B222" s="7" t="s">
        <v>1272</v>
      </c>
      <c r="C222" s="7" t="s">
        <v>1308</v>
      </c>
      <c r="D222" s="7" t="s">
        <v>1274</v>
      </c>
      <c r="E222" s="13" t="s">
        <v>78</v>
      </c>
      <c r="F222" s="7" t="s">
        <v>1309</v>
      </c>
      <c r="G222" s="7" t="s">
        <v>1310</v>
      </c>
      <c r="H222" s="7" t="s">
        <v>1311</v>
      </c>
      <c r="I222" s="7" t="s">
        <v>1312</v>
      </c>
      <c r="J222" s="7" t="s">
        <v>65</v>
      </c>
      <c r="K222" s="7" t="s">
        <v>98</v>
      </c>
      <c r="L222" s="12" t="s">
        <v>75</v>
      </c>
      <c r="M222" s="7" t="s">
        <v>68</v>
      </c>
      <c r="N222" s="7" t="s">
        <v>68</v>
      </c>
      <c r="O222" s="7" t="s">
        <v>1313</v>
      </c>
      <c r="P222" s="7" t="s">
        <v>1737</v>
      </c>
      <c r="Q222" s="7" t="s">
        <v>75</v>
      </c>
      <c r="R222" s="7" t="s">
        <v>1737</v>
      </c>
    </row>
    <row r="223" spans="1:18" x14ac:dyDescent="0.25">
      <c r="A223" s="10">
        <v>222</v>
      </c>
      <c r="B223" s="11" t="s">
        <v>1272</v>
      </c>
      <c r="C223" s="11" t="s">
        <v>1314</v>
      </c>
      <c r="D223" s="11" t="s">
        <v>1274</v>
      </c>
      <c r="E223" s="13" t="s">
        <v>78</v>
      </c>
      <c r="F223" s="11" t="s">
        <v>1315</v>
      </c>
      <c r="G223" s="11" t="s">
        <v>771</v>
      </c>
      <c r="H223" s="11" t="s">
        <v>1316</v>
      </c>
      <c r="I223" s="11" t="s">
        <v>1317</v>
      </c>
      <c r="J223" s="11" t="s">
        <v>65</v>
      </c>
      <c r="K223" s="11" t="s">
        <v>98</v>
      </c>
      <c r="L223" s="12" t="s">
        <v>75</v>
      </c>
      <c r="M223" s="11" t="s">
        <v>68</v>
      </c>
      <c r="N223" s="11" t="s">
        <v>68</v>
      </c>
      <c r="O223" s="11" t="s">
        <v>515</v>
      </c>
      <c r="P223" s="11" t="s">
        <v>1737</v>
      </c>
      <c r="Q223" s="11" t="s">
        <v>75</v>
      </c>
      <c r="R223" s="11" t="s">
        <v>1737</v>
      </c>
    </row>
    <row r="224" spans="1:18" x14ac:dyDescent="0.25">
      <c r="A224" s="6">
        <v>223</v>
      </c>
      <c r="B224" s="7" t="s">
        <v>1272</v>
      </c>
      <c r="C224" s="7" t="s">
        <v>1318</v>
      </c>
      <c r="D224" s="7" t="s">
        <v>1274</v>
      </c>
      <c r="E224" s="13" t="s">
        <v>78</v>
      </c>
      <c r="F224" s="7" t="s">
        <v>1319</v>
      </c>
      <c r="G224" s="7" t="s">
        <v>1320</v>
      </c>
      <c r="H224" s="7" t="s">
        <v>1321</v>
      </c>
      <c r="I224" s="7" t="s">
        <v>1322</v>
      </c>
      <c r="J224" s="7" t="s">
        <v>65</v>
      </c>
      <c r="K224" s="7" t="s">
        <v>98</v>
      </c>
      <c r="L224" s="12" t="s">
        <v>75</v>
      </c>
      <c r="M224" s="7" t="s">
        <v>68</v>
      </c>
      <c r="N224" s="7" t="s">
        <v>68</v>
      </c>
      <c r="O224" s="7" t="s">
        <v>1323</v>
      </c>
      <c r="P224" s="7" t="s">
        <v>1737</v>
      </c>
      <c r="Q224" s="7" t="s">
        <v>75</v>
      </c>
      <c r="R224" s="7" t="s">
        <v>1737</v>
      </c>
    </row>
    <row r="225" spans="1:18" x14ac:dyDescent="0.25">
      <c r="A225" s="10">
        <v>224</v>
      </c>
      <c r="B225" s="11" t="s">
        <v>1272</v>
      </c>
      <c r="C225" s="11" t="s">
        <v>1324</v>
      </c>
      <c r="D225" s="11" t="s">
        <v>1274</v>
      </c>
      <c r="E225" s="13" t="s">
        <v>78</v>
      </c>
      <c r="F225" s="11" t="s">
        <v>1325</v>
      </c>
      <c r="G225" s="11" t="s">
        <v>1326</v>
      </c>
      <c r="H225" s="11" t="s">
        <v>1327</v>
      </c>
      <c r="I225" s="11" t="s">
        <v>1328</v>
      </c>
      <c r="J225" s="11" t="s">
        <v>65</v>
      </c>
      <c r="K225" s="11" t="s">
        <v>91</v>
      </c>
      <c r="L225" s="9" t="s">
        <v>67</v>
      </c>
      <c r="M225" s="11" t="s">
        <v>68</v>
      </c>
      <c r="N225" s="11" t="s">
        <v>68</v>
      </c>
      <c r="O225" s="11" t="s">
        <v>1329</v>
      </c>
      <c r="P225" s="11" t="s">
        <v>1737</v>
      </c>
      <c r="Q225" s="11" t="s">
        <v>67</v>
      </c>
      <c r="R225" s="11" t="s">
        <v>1737</v>
      </c>
    </row>
    <row r="226" spans="1:18" x14ac:dyDescent="0.25">
      <c r="A226" s="6">
        <v>225</v>
      </c>
      <c r="B226" s="7" t="s">
        <v>1272</v>
      </c>
      <c r="C226" s="7" t="s">
        <v>1330</v>
      </c>
      <c r="D226" s="7" t="s">
        <v>1274</v>
      </c>
      <c r="E226" s="13" t="s">
        <v>78</v>
      </c>
      <c r="F226" s="7" t="s">
        <v>1331</v>
      </c>
      <c r="G226" s="7" t="s">
        <v>1332</v>
      </c>
      <c r="H226" s="7" t="s">
        <v>1333</v>
      </c>
      <c r="I226" s="7" t="s">
        <v>1334</v>
      </c>
      <c r="J226" s="7" t="s">
        <v>65</v>
      </c>
      <c r="K226" s="7" t="s">
        <v>66</v>
      </c>
      <c r="L226" s="9" t="s">
        <v>67</v>
      </c>
      <c r="M226" s="7" t="s">
        <v>68</v>
      </c>
      <c r="N226" s="7" t="s">
        <v>68</v>
      </c>
      <c r="O226" s="7" t="s">
        <v>1335</v>
      </c>
      <c r="P226" s="7" t="s">
        <v>1737</v>
      </c>
      <c r="Q226" s="7" t="s">
        <v>67</v>
      </c>
      <c r="R226" s="7" t="s">
        <v>1737</v>
      </c>
    </row>
    <row r="227" spans="1:18" x14ac:dyDescent="0.25">
      <c r="A227" s="10">
        <v>226</v>
      </c>
      <c r="B227" s="11" t="s">
        <v>1272</v>
      </c>
      <c r="C227" s="11" t="s">
        <v>1336</v>
      </c>
      <c r="D227" s="11" t="s">
        <v>1274</v>
      </c>
      <c r="E227" s="13" t="s">
        <v>78</v>
      </c>
      <c r="F227" s="11" t="s">
        <v>1337</v>
      </c>
      <c r="G227" s="11" t="s">
        <v>1338</v>
      </c>
      <c r="H227" s="11" t="s">
        <v>1339</v>
      </c>
      <c r="I227" s="11" t="s">
        <v>1340</v>
      </c>
      <c r="J227" s="11" t="s">
        <v>65</v>
      </c>
      <c r="K227" s="11" t="s">
        <v>98</v>
      </c>
      <c r="L227" s="12" t="s">
        <v>75</v>
      </c>
      <c r="M227" s="11" t="s">
        <v>68</v>
      </c>
      <c r="N227" s="11" t="s">
        <v>68</v>
      </c>
      <c r="O227" s="11" t="s">
        <v>1341</v>
      </c>
      <c r="P227" s="11" t="s">
        <v>1737</v>
      </c>
      <c r="Q227" s="11" t="s">
        <v>75</v>
      </c>
      <c r="R227" s="11" t="s">
        <v>1737</v>
      </c>
    </row>
    <row r="228" spans="1:18" x14ac:dyDescent="0.25">
      <c r="A228" s="6">
        <v>227</v>
      </c>
      <c r="B228" s="7" t="s">
        <v>1272</v>
      </c>
      <c r="C228" s="7" t="s">
        <v>1342</v>
      </c>
      <c r="D228" s="7" t="s">
        <v>1274</v>
      </c>
      <c r="E228" s="13" t="s">
        <v>78</v>
      </c>
      <c r="F228" s="7" t="s">
        <v>1343</v>
      </c>
      <c r="G228" s="7" t="s">
        <v>1344</v>
      </c>
      <c r="H228" s="7" t="s">
        <v>1345</v>
      </c>
      <c r="I228" s="7" t="s">
        <v>1346</v>
      </c>
      <c r="J228" s="7" t="s">
        <v>83</v>
      </c>
      <c r="K228" s="7" t="s">
        <v>66</v>
      </c>
      <c r="L228" s="14" t="s">
        <v>295</v>
      </c>
      <c r="M228" s="7" t="s">
        <v>68</v>
      </c>
      <c r="N228" s="7" t="s">
        <v>68</v>
      </c>
      <c r="O228" s="7" t="s">
        <v>1347</v>
      </c>
      <c r="P228" s="7" t="s">
        <v>1737</v>
      </c>
      <c r="Q228" s="7" t="s">
        <v>295</v>
      </c>
      <c r="R228" s="7" t="s">
        <v>1737</v>
      </c>
    </row>
    <row r="229" spans="1:18" x14ac:dyDescent="0.25">
      <c r="A229" s="10">
        <v>228</v>
      </c>
      <c r="B229" s="11" t="s">
        <v>1272</v>
      </c>
      <c r="C229" s="11" t="s">
        <v>1348</v>
      </c>
      <c r="D229" s="11" t="s">
        <v>1274</v>
      </c>
      <c r="E229" s="13" t="s">
        <v>78</v>
      </c>
      <c r="F229" s="11" t="s">
        <v>1349</v>
      </c>
      <c r="G229" s="11" t="s">
        <v>1350</v>
      </c>
      <c r="H229" s="11" t="s">
        <v>1351</v>
      </c>
      <c r="I229" s="11" t="s">
        <v>1352</v>
      </c>
      <c r="J229" s="11" t="s">
        <v>65</v>
      </c>
      <c r="K229" s="11" t="s">
        <v>98</v>
      </c>
      <c r="L229" s="12" t="s">
        <v>75</v>
      </c>
      <c r="M229" s="11" t="s">
        <v>68</v>
      </c>
      <c r="N229" s="11" t="s">
        <v>68</v>
      </c>
      <c r="O229" s="11" t="s">
        <v>1353</v>
      </c>
      <c r="P229" s="11" t="s">
        <v>1737</v>
      </c>
      <c r="Q229" s="11" t="s">
        <v>75</v>
      </c>
      <c r="R229" s="11" t="s">
        <v>1737</v>
      </c>
    </row>
    <row r="230" spans="1:18" x14ac:dyDescent="0.25">
      <c r="A230" s="6">
        <v>229</v>
      </c>
      <c r="B230" s="7" t="s">
        <v>1272</v>
      </c>
      <c r="C230" s="7" t="s">
        <v>1354</v>
      </c>
      <c r="D230" s="7" t="s">
        <v>1274</v>
      </c>
      <c r="E230" s="13" t="s">
        <v>78</v>
      </c>
      <c r="F230" s="7" t="s">
        <v>1355</v>
      </c>
      <c r="G230" s="7" t="s">
        <v>1356</v>
      </c>
      <c r="H230" s="7" t="s">
        <v>1357</v>
      </c>
      <c r="I230" s="7" t="s">
        <v>1358</v>
      </c>
      <c r="J230" s="7" t="s">
        <v>65</v>
      </c>
      <c r="K230" s="7" t="s">
        <v>98</v>
      </c>
      <c r="L230" s="9" t="s">
        <v>67</v>
      </c>
      <c r="M230" s="7" t="s">
        <v>68</v>
      </c>
      <c r="N230" s="7" t="s">
        <v>68</v>
      </c>
      <c r="O230" s="7" t="s">
        <v>1359</v>
      </c>
      <c r="P230" s="7" t="s">
        <v>1737</v>
      </c>
      <c r="Q230" s="7" t="s">
        <v>67</v>
      </c>
      <c r="R230" s="7" t="s">
        <v>1737</v>
      </c>
    </row>
    <row r="231" spans="1:18" x14ac:dyDescent="0.25">
      <c r="A231" s="10">
        <v>230</v>
      </c>
      <c r="B231" s="11" t="s">
        <v>1272</v>
      </c>
      <c r="C231" s="11" t="s">
        <v>1360</v>
      </c>
      <c r="D231" s="11" t="s">
        <v>1274</v>
      </c>
      <c r="E231" s="13" t="s">
        <v>78</v>
      </c>
      <c r="F231" s="11" t="s">
        <v>1361</v>
      </c>
      <c r="G231" s="11" t="s">
        <v>1362</v>
      </c>
      <c r="H231" s="11" t="s">
        <v>1363</v>
      </c>
      <c r="I231" s="11" t="s">
        <v>1364</v>
      </c>
      <c r="J231" s="11" t="s">
        <v>65</v>
      </c>
      <c r="K231" s="11" t="s">
        <v>98</v>
      </c>
      <c r="L231" s="9" t="s">
        <v>67</v>
      </c>
      <c r="M231" s="11" t="s">
        <v>68</v>
      </c>
      <c r="N231" s="11" t="s">
        <v>68</v>
      </c>
      <c r="O231" s="11" t="s">
        <v>1365</v>
      </c>
      <c r="P231" s="11" t="s">
        <v>1737</v>
      </c>
      <c r="Q231" s="11" t="s">
        <v>67</v>
      </c>
      <c r="R231" s="11" t="s">
        <v>1737</v>
      </c>
    </row>
    <row r="232" spans="1:18" x14ac:dyDescent="0.25">
      <c r="A232" s="6">
        <v>231</v>
      </c>
      <c r="B232" s="7" t="s">
        <v>1272</v>
      </c>
      <c r="C232" s="7" t="s">
        <v>1366</v>
      </c>
      <c r="D232" s="7" t="s">
        <v>1274</v>
      </c>
      <c r="E232" s="15" t="s">
        <v>714</v>
      </c>
      <c r="F232" s="7" t="s">
        <v>1367</v>
      </c>
      <c r="G232" s="7" t="s">
        <v>1368</v>
      </c>
      <c r="H232" s="7" t="s">
        <v>1369</v>
      </c>
      <c r="I232" s="7" t="s">
        <v>1370</v>
      </c>
      <c r="J232" s="7" t="s">
        <v>65</v>
      </c>
      <c r="K232" s="7" t="s">
        <v>687</v>
      </c>
      <c r="L232" s="9" t="s">
        <v>67</v>
      </c>
      <c r="M232" s="7" t="s">
        <v>68</v>
      </c>
      <c r="N232" s="7" t="s">
        <v>68</v>
      </c>
      <c r="O232" s="7" t="s">
        <v>719</v>
      </c>
      <c r="P232" s="7" t="s">
        <v>1737</v>
      </c>
      <c r="Q232" s="7" t="s">
        <v>67</v>
      </c>
      <c r="R232" s="7" t="s">
        <v>1737</v>
      </c>
    </row>
    <row r="233" spans="1:18" x14ac:dyDescent="0.25">
      <c r="A233" s="10">
        <v>232</v>
      </c>
      <c r="B233" s="11" t="s">
        <v>1272</v>
      </c>
      <c r="C233" s="11" t="s">
        <v>1371</v>
      </c>
      <c r="D233" s="11" t="s">
        <v>1274</v>
      </c>
      <c r="E233" s="13" t="s">
        <v>78</v>
      </c>
      <c r="F233" s="11" t="s">
        <v>1372</v>
      </c>
      <c r="G233" s="11" t="s">
        <v>1373</v>
      </c>
      <c r="H233" s="11" t="s">
        <v>1374</v>
      </c>
      <c r="I233" s="11" t="s">
        <v>1375</v>
      </c>
      <c r="J233" s="11" t="s">
        <v>65</v>
      </c>
      <c r="K233" s="11" t="s">
        <v>98</v>
      </c>
      <c r="L233" s="12" t="s">
        <v>75</v>
      </c>
      <c r="M233" s="11" t="s">
        <v>68</v>
      </c>
      <c r="N233" s="11" t="s">
        <v>68</v>
      </c>
      <c r="O233" s="11" t="s">
        <v>1376</v>
      </c>
      <c r="P233" s="11" t="s">
        <v>1737</v>
      </c>
      <c r="Q233" s="11" t="s">
        <v>75</v>
      </c>
      <c r="R233" s="11" t="s">
        <v>1737</v>
      </c>
    </row>
    <row r="234" spans="1:18" x14ac:dyDescent="0.25">
      <c r="A234" s="6">
        <v>233</v>
      </c>
      <c r="B234" s="7" t="s">
        <v>1272</v>
      </c>
      <c r="C234" s="7" t="s">
        <v>1377</v>
      </c>
      <c r="D234" s="7" t="s">
        <v>1274</v>
      </c>
      <c r="E234" s="8" t="s">
        <v>60</v>
      </c>
      <c r="F234" s="7" t="s">
        <v>1378</v>
      </c>
      <c r="G234" s="7" t="s">
        <v>1379</v>
      </c>
      <c r="H234" s="7" t="s">
        <v>1380</v>
      </c>
      <c r="I234" s="7" t="s">
        <v>1381</v>
      </c>
      <c r="J234" s="7" t="s">
        <v>83</v>
      </c>
      <c r="K234" s="7" t="s">
        <v>66</v>
      </c>
      <c r="L234" s="12" t="s">
        <v>75</v>
      </c>
      <c r="M234" s="7" t="s">
        <v>68</v>
      </c>
      <c r="N234" s="7" t="s">
        <v>68</v>
      </c>
      <c r="O234" s="7" t="s">
        <v>1382</v>
      </c>
      <c r="P234" s="7" t="s">
        <v>1737</v>
      </c>
      <c r="Q234" s="7" t="s">
        <v>67</v>
      </c>
      <c r="R234" s="7" t="s">
        <v>1739</v>
      </c>
    </row>
    <row r="235" spans="1:18" x14ac:dyDescent="0.25">
      <c r="A235" s="10">
        <v>234</v>
      </c>
      <c r="B235" s="11" t="s">
        <v>1272</v>
      </c>
      <c r="C235" s="11" t="s">
        <v>1383</v>
      </c>
      <c r="D235" s="11" t="s">
        <v>1274</v>
      </c>
      <c r="E235" s="8" t="s">
        <v>60</v>
      </c>
      <c r="F235" s="11" t="s">
        <v>1384</v>
      </c>
      <c r="G235" s="11" t="s">
        <v>1385</v>
      </c>
      <c r="H235" s="11" t="s">
        <v>1386</v>
      </c>
      <c r="I235" s="11" t="s">
        <v>1387</v>
      </c>
      <c r="J235" s="11" t="s">
        <v>65</v>
      </c>
      <c r="K235" s="11" t="s">
        <v>98</v>
      </c>
      <c r="L235" s="12" t="s">
        <v>75</v>
      </c>
      <c r="M235" s="11" t="s">
        <v>68</v>
      </c>
      <c r="N235" s="11" t="s">
        <v>68</v>
      </c>
      <c r="O235" s="11" t="s">
        <v>1388</v>
      </c>
      <c r="P235" s="11" t="s">
        <v>1737</v>
      </c>
      <c r="Q235" s="11" t="s">
        <v>67</v>
      </c>
      <c r="R235" s="11" t="s">
        <v>1739</v>
      </c>
    </row>
    <row r="236" spans="1:18" x14ac:dyDescent="0.25">
      <c r="A236" s="6">
        <v>235</v>
      </c>
      <c r="B236" s="7" t="s">
        <v>1272</v>
      </c>
      <c r="C236" s="7" t="s">
        <v>1389</v>
      </c>
      <c r="D236" s="7" t="s">
        <v>1274</v>
      </c>
      <c r="E236" s="13" t="s">
        <v>78</v>
      </c>
      <c r="F236" s="7" t="s">
        <v>1390</v>
      </c>
      <c r="G236" s="7" t="s">
        <v>171</v>
      </c>
      <c r="H236" s="7" t="s">
        <v>1391</v>
      </c>
      <c r="I236" s="7" t="s">
        <v>1392</v>
      </c>
      <c r="J236" s="7" t="s">
        <v>83</v>
      </c>
      <c r="K236" s="7" t="s">
        <v>98</v>
      </c>
      <c r="L236" s="14" t="s">
        <v>295</v>
      </c>
      <c r="M236" s="7" t="s">
        <v>68</v>
      </c>
      <c r="N236" s="7" t="s">
        <v>68</v>
      </c>
      <c r="O236" s="7" t="s">
        <v>1393</v>
      </c>
      <c r="P236" s="7" t="s">
        <v>1737</v>
      </c>
      <c r="Q236" s="7" t="s">
        <v>295</v>
      </c>
      <c r="R236" s="7" t="s">
        <v>1737</v>
      </c>
    </row>
    <row r="237" spans="1:18" x14ac:dyDescent="0.25">
      <c r="A237" s="10">
        <v>236</v>
      </c>
      <c r="B237" s="11" t="s">
        <v>1272</v>
      </c>
      <c r="C237" s="11" t="s">
        <v>1394</v>
      </c>
      <c r="D237" s="11" t="s">
        <v>1274</v>
      </c>
      <c r="E237" s="8" t="s">
        <v>60</v>
      </c>
      <c r="F237" s="11" t="s">
        <v>1395</v>
      </c>
      <c r="G237" s="11" t="s">
        <v>1396</v>
      </c>
      <c r="H237" s="11" t="s">
        <v>1397</v>
      </c>
      <c r="I237" s="11" t="s">
        <v>1398</v>
      </c>
      <c r="J237" s="11" t="s">
        <v>65</v>
      </c>
      <c r="K237" s="11" t="s">
        <v>98</v>
      </c>
      <c r="L237" s="12" t="s">
        <v>75</v>
      </c>
      <c r="M237" s="11" t="s">
        <v>68</v>
      </c>
      <c r="N237" s="11" t="s">
        <v>68</v>
      </c>
      <c r="O237" s="11" t="s">
        <v>1399</v>
      </c>
      <c r="P237" s="11" t="s">
        <v>1737</v>
      </c>
      <c r="Q237" s="11" t="s">
        <v>67</v>
      </c>
      <c r="R237" s="11" t="s">
        <v>1739</v>
      </c>
    </row>
  </sheetData>
  <autoFilter ref="A1:O237"/>
  <dataValidations count="6">
    <dataValidation type="list" allowBlank="1" sqref="E10:E237">
      <formula1>"Manual-QA,Tecnico/Dev,Automatizado-IT"</formula1>
    </dataValidation>
    <dataValidation type="list" allowBlank="1" sqref="E2:E237">
      <formula1>"Manual-QA,Tecnico/Dev,Automatizado-IT"</formula1>
    </dataValidation>
    <dataValidation type="list" allowBlank="1" sqref="J10:J237">
      <formula1>"Alta,Media,Baja"</formula1>
    </dataValidation>
    <dataValidation type="list" allowBlank="1" sqref="J2:J237">
      <formula1>"Alta,Media,Baja"</formula1>
    </dataValidation>
    <dataValidation type="list" allowBlank="1" sqref="L10:L237">
      <formula1>"Pendiente,Pass,Fail,Blocked,N/A"</formula1>
    </dataValidation>
    <dataValidation type="list" allowBlank="1" sqref="L2:L237">
      <formula1>"Pendiente,Pass,Fail,Blocked,N/A"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8"/>
  <sheetFormatPr defaultRowHeight="15" outlineLevelRow="0" outlineLevelCol="0" x14ac:dyDescent="55"/>
  <cols>
    <col min="1" max="1" width="22" customWidth="1"/>
    <col min="2" max="2" width="88" customWidth="1"/>
  </cols>
  <sheetData>
    <row r="1" spans="1:2" x14ac:dyDescent="0.25">
      <c r="A1" s="16" t="s">
        <v>1400</v>
      </c>
      <c r="B1" s="17" t="s">
        <v>68</v>
      </c>
    </row>
    <row r="3" spans="1:2" x14ac:dyDescent="0.25">
      <c r="A3" s="2" t="s">
        <v>1401</v>
      </c>
      <c r="B3" s="3" t="s">
        <v>68</v>
      </c>
    </row>
    <row r="4" spans="1:2" x14ac:dyDescent="0.25">
      <c r="A4" s="2" t="s">
        <v>1402</v>
      </c>
      <c r="B4" s="3" t="s">
        <v>1403</v>
      </c>
    </row>
    <row r="5" spans="1:2" x14ac:dyDescent="0.25">
      <c r="A5" s="2" t="s">
        <v>94</v>
      </c>
      <c r="B5" s="3" t="s">
        <v>1404</v>
      </c>
    </row>
    <row r="7" spans="1:2" x14ac:dyDescent="0.25">
      <c r="A7" s="2" t="s">
        <v>1405</v>
      </c>
      <c r="B7" s="3" t="s">
        <v>1406</v>
      </c>
    </row>
    <row r="8" spans="1:2" x14ac:dyDescent="0.25">
      <c r="A8" s="2" t="s">
        <v>1407</v>
      </c>
      <c r="B8" s="3" t="s">
        <v>1408</v>
      </c>
    </row>
    <row r="9" spans="1:2" x14ac:dyDescent="0.25">
      <c r="A9" s="2" t="s">
        <v>1409</v>
      </c>
      <c r="B9" s="3" t="s">
        <v>1410</v>
      </c>
    </row>
    <row r="10" spans="1:2" x14ac:dyDescent="0.25">
      <c r="A10" s="2" t="s">
        <v>1411</v>
      </c>
      <c r="B10" s="3" t="s">
        <v>1412</v>
      </c>
    </row>
    <row r="11" spans="1:2" x14ac:dyDescent="0.25">
      <c r="A11" s="2" t="s">
        <v>1413</v>
      </c>
      <c r="B11" s="3" t="s">
        <v>1414</v>
      </c>
    </row>
    <row r="12" spans="1:2" x14ac:dyDescent="0.25">
      <c r="A12" s="2" t="s">
        <v>1415</v>
      </c>
      <c r="B12" s="3" t="s">
        <v>1416</v>
      </c>
    </row>
    <row r="13" spans="1:2" x14ac:dyDescent="0.25">
      <c r="A13" s="2" t="s">
        <v>1417</v>
      </c>
      <c r="B13" s="3" t="s">
        <v>1418</v>
      </c>
    </row>
    <row r="15" spans="1:2" x14ac:dyDescent="0.25">
      <c r="A15" s="2" t="s">
        <v>1419</v>
      </c>
      <c r="B15" s="3" t="s">
        <v>1420</v>
      </c>
    </row>
    <row r="16" spans="1:2" x14ac:dyDescent="0.25">
      <c r="A16" s="2" t="s">
        <v>1421</v>
      </c>
      <c r="B16" s="3" t="s">
        <v>1422</v>
      </c>
    </row>
    <row r="17" spans="1:2" x14ac:dyDescent="0.25">
      <c r="A17" s="2" t="s">
        <v>1423</v>
      </c>
      <c r="B17" s="3" t="s">
        <v>1424</v>
      </c>
    </row>
    <row r="18" spans="1:2" x14ac:dyDescent="0.25">
      <c r="A18" s="2" t="s">
        <v>1425</v>
      </c>
      <c r="B18" s="3" t="s">
        <v>1426</v>
      </c>
    </row>
    <row r="19" spans="1:2" x14ac:dyDescent="0.25">
      <c r="A19" s="2" t="s">
        <v>1427</v>
      </c>
      <c r="B19" s="3" t="s">
        <v>1428</v>
      </c>
    </row>
    <row r="20" spans="1:2" x14ac:dyDescent="0.25">
      <c r="A20" s="2" t="s">
        <v>1429</v>
      </c>
      <c r="B20" s="3" t="s">
        <v>1430</v>
      </c>
    </row>
    <row r="22" spans="1:2" x14ac:dyDescent="0.25">
      <c r="A22" s="2" t="s">
        <v>1431</v>
      </c>
      <c r="B22" s="3" t="s">
        <v>1432</v>
      </c>
    </row>
    <row r="23" spans="1:2" x14ac:dyDescent="0.25">
      <c r="A23" s="2" t="s">
        <v>1433</v>
      </c>
      <c r="B23" s="3" t="s">
        <v>1434</v>
      </c>
    </row>
    <row r="24" spans="1:2" x14ac:dyDescent="0.25">
      <c r="A24" s="2" t="s">
        <v>1435</v>
      </c>
      <c r="B24" s="3" t="s">
        <v>1436</v>
      </c>
    </row>
    <row r="25" spans="1:2" x14ac:dyDescent="0.25">
      <c r="A25" s="2" t="s">
        <v>1437</v>
      </c>
      <c r="B25" s="3" t="s">
        <v>1438</v>
      </c>
    </row>
    <row r="26" spans="1:2" x14ac:dyDescent="0.25">
      <c r="A26" s="2" t="s">
        <v>1439</v>
      </c>
      <c r="B26" s="3" t="s">
        <v>1440</v>
      </c>
    </row>
    <row r="27" spans="1:2" x14ac:dyDescent="0.25">
      <c r="A27" s="2" t="s">
        <v>1441</v>
      </c>
      <c r="B27" s="3" t="s">
        <v>1442</v>
      </c>
    </row>
    <row r="28" spans="1:2" x14ac:dyDescent="0.25">
      <c r="A28" s="2" t="s">
        <v>1443</v>
      </c>
      <c r="B28" s="3" t="s">
        <v>1444</v>
      </c>
    </row>
    <row r="30" spans="1:2" x14ac:dyDescent="0.25">
      <c r="A30" s="2" t="s">
        <v>1445</v>
      </c>
      <c r="B30" s="3" t="s">
        <v>1446</v>
      </c>
    </row>
    <row r="31" spans="1:2" x14ac:dyDescent="0.25">
      <c r="A31" s="2" t="s">
        <v>1447</v>
      </c>
      <c r="B31" s="3" t="s">
        <v>1448</v>
      </c>
    </row>
    <row r="32" spans="1:2" x14ac:dyDescent="0.25">
      <c r="A32" s="2" t="s">
        <v>1449</v>
      </c>
      <c r="B32" s="3" t="s">
        <v>1450</v>
      </c>
    </row>
    <row r="33" spans="1:2" x14ac:dyDescent="0.25">
      <c r="A33" s="2" t="s">
        <v>1451</v>
      </c>
      <c r="B33" s="3" t="s">
        <v>1452</v>
      </c>
    </row>
    <row r="34" spans="1:2" x14ac:dyDescent="0.25">
      <c r="A34" s="2" t="s">
        <v>1453</v>
      </c>
      <c r="B34" s="3" t="s">
        <v>1454</v>
      </c>
    </row>
    <row r="36" spans="1:2" x14ac:dyDescent="0.25">
      <c r="A36" s="2" t="s">
        <v>1455</v>
      </c>
      <c r="B36" s="3" t="s">
        <v>1456</v>
      </c>
    </row>
    <row r="37" spans="1:2" x14ac:dyDescent="0.25">
      <c r="A37" s="2" t="s">
        <v>60</v>
      </c>
      <c r="B37" s="3" t="s">
        <v>1457</v>
      </c>
    </row>
    <row r="38" spans="1:2" x14ac:dyDescent="0.25">
      <c r="A38" s="2" t="s">
        <v>78</v>
      </c>
      <c r="B38" s="3" t="s">
        <v>1458</v>
      </c>
    </row>
    <row r="39" spans="1:2" x14ac:dyDescent="0.25">
      <c r="A39" s="2" t="s">
        <v>714</v>
      </c>
      <c r="B39" s="3" t="s">
        <v>1459</v>
      </c>
    </row>
    <row r="41" spans="1:2" x14ac:dyDescent="0.25">
      <c r="A41" s="2" t="s">
        <v>1460</v>
      </c>
      <c r="B41" s="3" t="s">
        <v>1461</v>
      </c>
    </row>
    <row r="42" spans="1:2" x14ac:dyDescent="0.25">
      <c r="A42" s="2" t="s">
        <v>1462</v>
      </c>
      <c r="B42" s="3" t="s">
        <v>1463</v>
      </c>
    </row>
    <row r="43" spans="1:2" x14ac:dyDescent="0.25">
      <c r="A43" s="2" t="s">
        <v>1464</v>
      </c>
      <c r="B43" s="3" t="s">
        <v>1465</v>
      </c>
    </row>
    <row r="44" spans="1:2" x14ac:dyDescent="0.25">
      <c r="A44" s="2" t="s">
        <v>1466</v>
      </c>
      <c r="B44" s="3" t="s">
        <v>1467</v>
      </c>
    </row>
    <row r="46" spans="1:2" x14ac:dyDescent="0.25">
      <c r="A46" s="2" t="s">
        <v>1468</v>
      </c>
      <c r="B46" s="3" t="s">
        <v>68</v>
      </c>
    </row>
    <row r="47" spans="1:2" x14ac:dyDescent="0.25">
      <c r="A47" s="2" t="s">
        <v>1469</v>
      </c>
      <c r="B47" s="3" t="s">
        <v>1470</v>
      </c>
    </row>
    <row r="48" spans="1:2" x14ac:dyDescent="0.25">
      <c r="A48" s="2" t="s">
        <v>41</v>
      </c>
      <c r="B48" s="3" t="s">
        <v>1471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6" customWidth="1"/>
    <col min="3" max="3" width="26" customWidth="1"/>
    <col min="4" max="4" width="44" customWidth="1"/>
    <col min="5" max="5" width="40" customWidth="1"/>
  </cols>
  <sheetData>
    <row r="1" ht="24" customHeight="1" spans="1:5" x14ac:dyDescent="0.25">
      <c r="A1" s="5" t="s">
        <v>1472</v>
      </c>
      <c r="B1" s="5" t="s">
        <v>54</v>
      </c>
      <c r="C1" s="5" t="s">
        <v>1473</v>
      </c>
      <c r="D1" s="5" t="s">
        <v>1474</v>
      </c>
      <c r="E1" s="5" t="s">
        <v>1475</v>
      </c>
    </row>
    <row r="2" spans="1:5" x14ac:dyDescent="0.25">
      <c r="A2" s="7" t="s">
        <v>1476</v>
      </c>
      <c r="B2" s="7" t="s">
        <v>1477</v>
      </c>
      <c r="C2" s="7" t="s">
        <v>1478</v>
      </c>
      <c r="D2" s="18" t="s">
        <v>1479</v>
      </c>
      <c r="E2" s="7" t="s">
        <v>1480</v>
      </c>
    </row>
    <row r="3" spans="1:5" x14ac:dyDescent="0.25">
      <c r="A3" s="11" t="s">
        <v>1476</v>
      </c>
      <c r="B3" s="11" t="s">
        <v>1477</v>
      </c>
      <c r="C3" s="11" t="s">
        <v>54</v>
      </c>
      <c r="D3" s="19" t="s">
        <v>1481</v>
      </c>
      <c r="E3" s="11" t="s">
        <v>1482</v>
      </c>
    </row>
    <row r="4" spans="1:5" x14ac:dyDescent="0.25">
      <c r="A4" s="7" t="s">
        <v>1476</v>
      </c>
      <c r="B4" s="7" t="s">
        <v>1477</v>
      </c>
      <c r="C4" s="7" t="s">
        <v>1483</v>
      </c>
      <c r="D4" s="18" t="s">
        <v>1484</v>
      </c>
      <c r="E4" s="7" t="s">
        <v>1485</v>
      </c>
    </row>
    <row r="5" spans="1:5" x14ac:dyDescent="0.25">
      <c r="A5" s="11" t="s">
        <v>1476</v>
      </c>
      <c r="B5" s="11" t="s">
        <v>1486</v>
      </c>
      <c r="C5" s="11" t="s">
        <v>1487</v>
      </c>
      <c r="D5" s="19" t="s">
        <v>1488</v>
      </c>
      <c r="E5" s="11" t="s">
        <v>68</v>
      </c>
    </row>
    <row r="6" spans="1:5" x14ac:dyDescent="0.25">
      <c r="A6" s="7" t="s">
        <v>1476</v>
      </c>
      <c r="B6" s="7" t="s">
        <v>1486</v>
      </c>
      <c r="C6" s="7" t="s">
        <v>1489</v>
      </c>
      <c r="D6" s="18" t="s">
        <v>1490</v>
      </c>
      <c r="E6" s="7" t="s">
        <v>68</v>
      </c>
    </row>
    <row r="7" spans="1:5" x14ac:dyDescent="0.25">
      <c r="A7" s="11" t="s">
        <v>1476</v>
      </c>
      <c r="B7" s="11" t="s">
        <v>1486</v>
      </c>
      <c r="C7" s="11" t="s">
        <v>1491</v>
      </c>
      <c r="D7" s="19" t="s">
        <v>1492</v>
      </c>
      <c r="E7" s="11" t="s">
        <v>68</v>
      </c>
    </row>
    <row r="8" spans="1:5" x14ac:dyDescent="0.25">
      <c r="A8" s="7" t="s">
        <v>1476</v>
      </c>
      <c r="B8" s="7" t="s">
        <v>1486</v>
      </c>
      <c r="C8" s="7" t="s">
        <v>1493</v>
      </c>
      <c r="D8" s="18" t="s">
        <v>1492</v>
      </c>
      <c r="E8" s="7" t="s">
        <v>68</v>
      </c>
    </row>
    <row r="9" spans="1:5" x14ac:dyDescent="0.25">
      <c r="A9" s="11" t="s">
        <v>1476</v>
      </c>
      <c r="B9" s="11" t="s">
        <v>1486</v>
      </c>
      <c r="C9" s="11" t="s">
        <v>1494</v>
      </c>
      <c r="D9" s="19" t="s">
        <v>1495</v>
      </c>
      <c r="E9" s="11" t="s">
        <v>1496</v>
      </c>
    </row>
    <row r="10" spans="1:5" x14ac:dyDescent="0.25">
      <c r="A10" s="7" t="s">
        <v>1476</v>
      </c>
      <c r="B10" s="7" t="s">
        <v>1486</v>
      </c>
      <c r="C10" s="7" t="s">
        <v>1497</v>
      </c>
      <c r="D10" s="18" t="s">
        <v>1498</v>
      </c>
      <c r="E10" s="7" t="s">
        <v>1499</v>
      </c>
    </row>
    <row r="11" spans="1:5" x14ac:dyDescent="0.25">
      <c r="A11" s="11" t="s">
        <v>1476</v>
      </c>
      <c r="B11" s="11" t="s">
        <v>1486</v>
      </c>
      <c r="C11" s="11" t="s">
        <v>1500</v>
      </c>
      <c r="D11" s="19" t="s">
        <v>1501</v>
      </c>
      <c r="E11" s="11" t="s">
        <v>68</v>
      </c>
    </row>
    <row r="12" spans="1:5" x14ac:dyDescent="0.25">
      <c r="A12" s="7" t="s">
        <v>1476</v>
      </c>
      <c r="B12" s="7" t="s">
        <v>1486</v>
      </c>
      <c r="C12" s="7" t="s">
        <v>1502</v>
      </c>
      <c r="D12" s="18" t="s">
        <v>1503</v>
      </c>
      <c r="E12" s="7" t="s">
        <v>68</v>
      </c>
    </row>
    <row r="13" spans="1:5" x14ac:dyDescent="0.25">
      <c r="A13" s="11" t="s">
        <v>1476</v>
      </c>
      <c r="B13" s="11" t="s">
        <v>1504</v>
      </c>
      <c r="C13" s="11" t="s">
        <v>1505</v>
      </c>
      <c r="D13" s="19" t="s">
        <v>1506</v>
      </c>
      <c r="E13" s="11" t="s">
        <v>68</v>
      </c>
    </row>
    <row r="14" spans="1:5" x14ac:dyDescent="0.25">
      <c r="A14" s="7" t="s">
        <v>1476</v>
      </c>
      <c r="B14" s="7" t="s">
        <v>1504</v>
      </c>
      <c r="C14" s="7" t="s">
        <v>1507</v>
      </c>
      <c r="D14" s="18" t="s">
        <v>1508</v>
      </c>
      <c r="E14" s="7" t="s">
        <v>1509</v>
      </c>
    </row>
    <row r="15" spans="1:5" x14ac:dyDescent="0.25">
      <c r="A15" s="11" t="s">
        <v>1476</v>
      </c>
      <c r="B15" s="11" t="s">
        <v>1504</v>
      </c>
      <c r="C15" s="11" t="s">
        <v>1510</v>
      </c>
      <c r="D15" s="19" t="s">
        <v>1511</v>
      </c>
      <c r="E15" s="11" t="s">
        <v>68</v>
      </c>
    </row>
    <row r="16" spans="1:5" x14ac:dyDescent="0.25">
      <c r="A16" s="7" t="s">
        <v>1476</v>
      </c>
      <c r="B16" s="7" t="s">
        <v>1504</v>
      </c>
      <c r="C16" s="7" t="s">
        <v>1512</v>
      </c>
      <c r="D16" s="18" t="s">
        <v>1513</v>
      </c>
      <c r="E16" s="7" t="s">
        <v>1514</v>
      </c>
    </row>
    <row r="17" spans="1:5" x14ac:dyDescent="0.25">
      <c r="A17" s="11" t="s">
        <v>1476</v>
      </c>
      <c r="B17" s="11" t="s">
        <v>1504</v>
      </c>
      <c r="C17" s="11" t="s">
        <v>1515</v>
      </c>
      <c r="D17" s="19" t="s">
        <v>1516</v>
      </c>
      <c r="E17" s="11" t="s">
        <v>68</v>
      </c>
    </row>
    <row r="18" spans="1:5" x14ac:dyDescent="0.25">
      <c r="A18" s="7" t="s">
        <v>1476</v>
      </c>
      <c r="B18" s="7" t="s">
        <v>1504</v>
      </c>
      <c r="C18" s="7" t="s">
        <v>1517</v>
      </c>
      <c r="D18" s="18" t="s">
        <v>1516</v>
      </c>
      <c r="E18" s="7" t="s">
        <v>68</v>
      </c>
    </row>
    <row r="19" spans="1:5" x14ac:dyDescent="0.25">
      <c r="A19" s="11" t="s">
        <v>1476</v>
      </c>
      <c r="B19" s="11" t="s">
        <v>1504</v>
      </c>
      <c r="C19" s="11" t="s">
        <v>1518</v>
      </c>
      <c r="D19" s="19" t="s">
        <v>1484</v>
      </c>
      <c r="E19" s="11" t="s">
        <v>1519</v>
      </c>
    </row>
    <row r="20" spans="1:5" x14ac:dyDescent="0.25">
      <c r="A20" s="7" t="s">
        <v>1476</v>
      </c>
      <c r="B20" s="7" t="s">
        <v>1504</v>
      </c>
      <c r="C20" s="7" t="s">
        <v>1520</v>
      </c>
      <c r="D20" s="18" t="s">
        <v>1521</v>
      </c>
      <c r="E20" s="7" t="s">
        <v>1522</v>
      </c>
    </row>
    <row r="21" spans="1:5" x14ac:dyDescent="0.25">
      <c r="A21" s="11" t="s">
        <v>1476</v>
      </c>
      <c r="B21" s="11" t="s">
        <v>1523</v>
      </c>
      <c r="C21" s="11" t="s">
        <v>1487</v>
      </c>
      <c r="D21" s="19" t="s">
        <v>1524</v>
      </c>
      <c r="E21" s="11" t="s">
        <v>68</v>
      </c>
    </row>
    <row r="22" spans="1:5" x14ac:dyDescent="0.25">
      <c r="A22" s="7" t="s">
        <v>1476</v>
      </c>
      <c r="B22" s="7" t="s">
        <v>1523</v>
      </c>
      <c r="C22" s="7" t="s">
        <v>1489</v>
      </c>
      <c r="D22" s="18" t="s">
        <v>1525</v>
      </c>
      <c r="E22" s="7" t="s">
        <v>68</v>
      </c>
    </row>
    <row r="23" spans="1:5" x14ac:dyDescent="0.25">
      <c r="A23" s="11" t="s">
        <v>1476</v>
      </c>
      <c r="B23" s="11" t="s">
        <v>1523</v>
      </c>
      <c r="C23" s="11" t="s">
        <v>1491</v>
      </c>
      <c r="D23" s="19" t="s">
        <v>1526</v>
      </c>
      <c r="E23" s="11" t="s">
        <v>68</v>
      </c>
    </row>
    <row r="24" spans="1:5" x14ac:dyDescent="0.25">
      <c r="A24" s="7" t="s">
        <v>1476</v>
      </c>
      <c r="B24" s="7" t="s">
        <v>1523</v>
      </c>
      <c r="C24" s="7" t="s">
        <v>1493</v>
      </c>
      <c r="D24" s="18" t="s">
        <v>1526</v>
      </c>
      <c r="E24" s="7" t="s">
        <v>68</v>
      </c>
    </row>
    <row r="25" spans="1:5" x14ac:dyDescent="0.25">
      <c r="A25" s="11" t="s">
        <v>1476</v>
      </c>
      <c r="B25" s="11" t="s">
        <v>1523</v>
      </c>
      <c r="C25" s="11" t="s">
        <v>1494</v>
      </c>
      <c r="D25" s="19" t="s">
        <v>1527</v>
      </c>
      <c r="E25" s="11" t="s">
        <v>68</v>
      </c>
    </row>
    <row r="26" spans="1:5" x14ac:dyDescent="0.25">
      <c r="A26" s="7" t="s">
        <v>1476</v>
      </c>
      <c r="B26" s="7" t="s">
        <v>1523</v>
      </c>
      <c r="C26" s="7" t="s">
        <v>1528</v>
      </c>
      <c r="D26" s="18" t="s">
        <v>1484</v>
      </c>
      <c r="E26" s="7" t="s">
        <v>68</v>
      </c>
    </row>
    <row r="27" spans="1:5" x14ac:dyDescent="0.25">
      <c r="A27" s="11" t="s">
        <v>1476</v>
      </c>
      <c r="B27" s="11" t="s">
        <v>1529</v>
      </c>
      <c r="C27" s="11" t="s">
        <v>1402</v>
      </c>
      <c r="D27" s="19" t="s">
        <v>1530</v>
      </c>
      <c r="E27" s="11" t="s">
        <v>1531</v>
      </c>
    </row>
    <row r="28" spans="1:5" x14ac:dyDescent="0.25">
      <c r="A28" s="7" t="s">
        <v>1476</v>
      </c>
      <c r="B28" s="7" t="s">
        <v>1529</v>
      </c>
      <c r="C28" s="7" t="s">
        <v>1532</v>
      </c>
      <c r="D28" s="18" t="s">
        <v>1533</v>
      </c>
      <c r="E28" s="7" t="s">
        <v>68</v>
      </c>
    </row>
    <row r="29" spans="1:5" x14ac:dyDescent="0.25">
      <c r="A29" s="11" t="s">
        <v>1476</v>
      </c>
      <c r="B29" s="11" t="s">
        <v>1529</v>
      </c>
      <c r="C29" s="11" t="s">
        <v>1534</v>
      </c>
      <c r="D29" s="19" t="s">
        <v>1535</v>
      </c>
      <c r="E29" s="11" t="s">
        <v>1536</v>
      </c>
    </row>
    <row r="30" spans="1:5" x14ac:dyDescent="0.25">
      <c r="A30" s="7" t="s">
        <v>1476</v>
      </c>
      <c r="B30" s="7" t="s">
        <v>1529</v>
      </c>
      <c r="C30" s="7" t="s">
        <v>1537</v>
      </c>
      <c r="D30" s="18" t="s">
        <v>1538</v>
      </c>
      <c r="E30" s="7" t="s">
        <v>68</v>
      </c>
    </row>
    <row r="31" spans="1:5" x14ac:dyDescent="0.25">
      <c r="A31" s="11" t="s">
        <v>1476</v>
      </c>
      <c r="B31" s="11" t="s">
        <v>1529</v>
      </c>
      <c r="C31" s="11" t="s">
        <v>1539</v>
      </c>
      <c r="D31" s="19" t="s">
        <v>1540</v>
      </c>
      <c r="E31" s="11" t="s">
        <v>68</v>
      </c>
    </row>
    <row r="32" spans="1:5" x14ac:dyDescent="0.25">
      <c r="A32" s="7" t="s">
        <v>1476</v>
      </c>
      <c r="B32" s="7" t="s">
        <v>1541</v>
      </c>
      <c r="C32" s="7" t="s">
        <v>1542</v>
      </c>
      <c r="D32" s="18" t="s">
        <v>1543</v>
      </c>
      <c r="E32" s="7" t="s">
        <v>1544</v>
      </c>
    </row>
    <row r="33" spans="1:5" x14ac:dyDescent="0.25">
      <c r="A33" s="11" t="s">
        <v>1545</v>
      </c>
      <c r="B33" s="11" t="s">
        <v>1477</v>
      </c>
      <c r="C33" s="11" t="s">
        <v>1478</v>
      </c>
      <c r="D33" s="19" t="s">
        <v>1546</v>
      </c>
      <c r="E33" s="11" t="s">
        <v>68</v>
      </c>
    </row>
    <row r="34" spans="1:5" x14ac:dyDescent="0.25">
      <c r="A34" s="7" t="s">
        <v>1545</v>
      </c>
      <c r="B34" s="7" t="s">
        <v>1477</v>
      </c>
      <c r="C34" s="7" t="s">
        <v>1547</v>
      </c>
      <c r="D34" s="18" t="s">
        <v>1548</v>
      </c>
      <c r="E34" s="7" t="s">
        <v>1549</v>
      </c>
    </row>
    <row r="35" spans="1:5" x14ac:dyDescent="0.25">
      <c r="A35" s="11" t="s">
        <v>1545</v>
      </c>
      <c r="B35" s="11" t="s">
        <v>1550</v>
      </c>
      <c r="C35" s="11" t="s">
        <v>1551</v>
      </c>
      <c r="D35" s="19" t="s">
        <v>1552</v>
      </c>
      <c r="E35" s="11" t="s">
        <v>68</v>
      </c>
    </row>
    <row r="36" spans="1:5" x14ac:dyDescent="0.25">
      <c r="A36" s="7" t="s">
        <v>1545</v>
      </c>
      <c r="B36" s="7" t="s">
        <v>1550</v>
      </c>
      <c r="C36" s="7" t="s">
        <v>1491</v>
      </c>
      <c r="D36" s="18" t="s">
        <v>1553</v>
      </c>
      <c r="E36" s="7" t="s">
        <v>68</v>
      </c>
    </row>
    <row r="37" spans="1:5" x14ac:dyDescent="0.25">
      <c r="A37" s="11" t="s">
        <v>1545</v>
      </c>
      <c r="B37" s="11" t="s">
        <v>1550</v>
      </c>
      <c r="C37" s="11" t="s">
        <v>1493</v>
      </c>
      <c r="D37" s="19" t="s">
        <v>1407</v>
      </c>
      <c r="E37" s="11" t="s">
        <v>68</v>
      </c>
    </row>
    <row r="38" spans="1:5" x14ac:dyDescent="0.25">
      <c r="A38" s="7" t="s">
        <v>1545</v>
      </c>
      <c r="B38" s="7" t="s">
        <v>1550</v>
      </c>
      <c r="C38" s="7" t="s">
        <v>1554</v>
      </c>
      <c r="D38" s="18" t="s">
        <v>1555</v>
      </c>
      <c r="E38" s="7" t="s">
        <v>68</v>
      </c>
    </row>
    <row r="39" spans="1:5" x14ac:dyDescent="0.25">
      <c r="A39" s="11" t="s">
        <v>1545</v>
      </c>
      <c r="B39" s="11" t="s">
        <v>1550</v>
      </c>
      <c r="C39" s="11" t="s">
        <v>1556</v>
      </c>
      <c r="D39" s="19" t="s">
        <v>1540</v>
      </c>
      <c r="E39" s="11" t="s">
        <v>68</v>
      </c>
    </row>
    <row r="40" spans="1:5" x14ac:dyDescent="0.25">
      <c r="A40" s="7" t="s">
        <v>1545</v>
      </c>
      <c r="B40" s="7" t="s">
        <v>1550</v>
      </c>
      <c r="C40" s="7" t="s">
        <v>1557</v>
      </c>
      <c r="D40" s="18" t="s">
        <v>1558</v>
      </c>
      <c r="E40" s="7" t="s">
        <v>68</v>
      </c>
    </row>
    <row r="41" spans="1:5" x14ac:dyDescent="0.25">
      <c r="A41" s="11" t="s">
        <v>1545</v>
      </c>
      <c r="B41" s="11" t="s">
        <v>1550</v>
      </c>
      <c r="C41" s="11" t="s">
        <v>1559</v>
      </c>
      <c r="D41" s="19" t="s">
        <v>1558</v>
      </c>
      <c r="E41" s="11" t="s">
        <v>68</v>
      </c>
    </row>
    <row r="42" spans="1:5" x14ac:dyDescent="0.25">
      <c r="A42" s="7" t="s">
        <v>1545</v>
      </c>
      <c r="B42" s="7" t="s">
        <v>1550</v>
      </c>
      <c r="C42" s="7" t="s">
        <v>1560</v>
      </c>
      <c r="D42" s="18" t="s">
        <v>1540</v>
      </c>
      <c r="E42" s="7" t="s">
        <v>68</v>
      </c>
    </row>
    <row r="43" spans="1:5" x14ac:dyDescent="0.25">
      <c r="A43" s="11" t="s">
        <v>1545</v>
      </c>
      <c r="B43" s="11" t="s">
        <v>1550</v>
      </c>
      <c r="C43" s="11" t="s">
        <v>1561</v>
      </c>
      <c r="D43" s="19" t="s">
        <v>1562</v>
      </c>
      <c r="E43" s="11" t="s">
        <v>1563</v>
      </c>
    </row>
    <row r="44" spans="1:5" x14ac:dyDescent="0.25">
      <c r="A44" s="7" t="s">
        <v>1564</v>
      </c>
      <c r="B44" s="7" t="s">
        <v>1477</v>
      </c>
      <c r="C44" s="7" t="s">
        <v>1478</v>
      </c>
      <c r="D44" s="18" t="s">
        <v>1565</v>
      </c>
      <c r="E44" s="7" t="s">
        <v>68</v>
      </c>
    </row>
    <row r="45" spans="1:5" x14ac:dyDescent="0.25">
      <c r="A45" s="11" t="s">
        <v>1564</v>
      </c>
      <c r="B45" s="11" t="s">
        <v>1477</v>
      </c>
      <c r="C45" s="11" t="s">
        <v>54</v>
      </c>
      <c r="D45" s="19" t="s">
        <v>1566</v>
      </c>
      <c r="E45" s="11" t="s">
        <v>1567</v>
      </c>
    </row>
    <row r="46" spans="1:5" x14ac:dyDescent="0.25">
      <c r="A46" s="7" t="s">
        <v>1564</v>
      </c>
      <c r="B46" s="7" t="s">
        <v>1568</v>
      </c>
      <c r="C46" s="7" t="s">
        <v>1569</v>
      </c>
      <c r="D46" s="18" t="s">
        <v>1570</v>
      </c>
      <c r="E46" s="7" t="s">
        <v>68</v>
      </c>
    </row>
    <row r="47" spans="1:5" x14ac:dyDescent="0.25">
      <c r="A47" s="11" t="s">
        <v>1564</v>
      </c>
      <c r="B47" s="11" t="s">
        <v>1568</v>
      </c>
      <c r="C47" s="11" t="s">
        <v>1571</v>
      </c>
      <c r="D47" s="19" t="s">
        <v>1572</v>
      </c>
      <c r="E47" s="11" t="s">
        <v>1573</v>
      </c>
    </row>
    <row r="48" spans="1:5" x14ac:dyDescent="0.25">
      <c r="A48" s="7" t="s">
        <v>1564</v>
      </c>
      <c r="B48" s="7" t="s">
        <v>1574</v>
      </c>
      <c r="C48" s="7" t="s">
        <v>1575</v>
      </c>
      <c r="D48" s="18" t="s">
        <v>1576</v>
      </c>
      <c r="E48" s="7" t="s">
        <v>68</v>
      </c>
    </row>
    <row r="49" spans="1:5" x14ac:dyDescent="0.25">
      <c r="A49" s="11" t="s">
        <v>1564</v>
      </c>
      <c r="B49" s="11" t="s">
        <v>1574</v>
      </c>
      <c r="C49" s="11" t="s">
        <v>1569</v>
      </c>
      <c r="D49" s="19" t="s">
        <v>1570</v>
      </c>
      <c r="E49" s="11" t="s">
        <v>68</v>
      </c>
    </row>
    <row r="50" spans="1:5" x14ac:dyDescent="0.25">
      <c r="A50" s="7" t="s">
        <v>1564</v>
      </c>
      <c r="B50" s="7" t="s">
        <v>1574</v>
      </c>
      <c r="C50" s="7" t="s">
        <v>1577</v>
      </c>
      <c r="D50" s="18" t="s">
        <v>1578</v>
      </c>
      <c r="E50" s="7" t="s">
        <v>1579</v>
      </c>
    </row>
    <row r="51" spans="1:5" x14ac:dyDescent="0.25">
      <c r="A51" s="11" t="s">
        <v>1564</v>
      </c>
      <c r="B51" s="11" t="s">
        <v>1574</v>
      </c>
      <c r="C51" s="11" t="s">
        <v>1580</v>
      </c>
      <c r="D51" s="19" t="s">
        <v>1581</v>
      </c>
      <c r="E51" s="11" t="s">
        <v>1582</v>
      </c>
    </row>
    <row r="52" spans="1:5" x14ac:dyDescent="0.25">
      <c r="A52" s="7" t="s">
        <v>1564</v>
      </c>
      <c r="B52" s="7" t="s">
        <v>1583</v>
      </c>
      <c r="C52" s="7" t="s">
        <v>1584</v>
      </c>
      <c r="D52" s="18" t="s">
        <v>1585</v>
      </c>
      <c r="E52" s="7" t="s">
        <v>1586</v>
      </c>
    </row>
    <row r="53" spans="1:5" x14ac:dyDescent="0.25">
      <c r="A53" s="11" t="s">
        <v>1564</v>
      </c>
      <c r="B53" s="11" t="s">
        <v>1583</v>
      </c>
      <c r="C53" s="11" t="s">
        <v>1587</v>
      </c>
      <c r="D53" s="19" t="s">
        <v>1588</v>
      </c>
      <c r="E53" s="11" t="s">
        <v>1589</v>
      </c>
    </row>
    <row r="54" spans="1:5" x14ac:dyDescent="0.25">
      <c r="A54" s="7" t="s">
        <v>1564</v>
      </c>
      <c r="B54" s="7" t="s">
        <v>1590</v>
      </c>
      <c r="C54" s="7" t="s">
        <v>1591</v>
      </c>
      <c r="D54" s="18" t="s">
        <v>1592</v>
      </c>
      <c r="E54" s="7" t="s">
        <v>1593</v>
      </c>
    </row>
    <row r="55" spans="1:5" x14ac:dyDescent="0.25">
      <c r="A55" s="11" t="s">
        <v>1564</v>
      </c>
      <c r="B55" s="11" t="s">
        <v>1594</v>
      </c>
      <c r="C55" s="11" t="s">
        <v>1595</v>
      </c>
      <c r="D55" s="19" t="s">
        <v>1596</v>
      </c>
      <c r="E55" s="11" t="s">
        <v>68</v>
      </c>
    </row>
    <row r="56" spans="1:5" x14ac:dyDescent="0.25">
      <c r="A56" s="7" t="s">
        <v>1564</v>
      </c>
      <c r="B56" s="7" t="s">
        <v>1594</v>
      </c>
      <c r="C56" s="7" t="s">
        <v>1597</v>
      </c>
      <c r="D56" s="18" t="s">
        <v>1484</v>
      </c>
      <c r="E56" s="7" t="s">
        <v>68</v>
      </c>
    </row>
    <row r="57" spans="1:5" x14ac:dyDescent="0.25">
      <c r="A57" s="11" t="s">
        <v>1598</v>
      </c>
      <c r="B57" s="11" t="s">
        <v>1599</v>
      </c>
      <c r="C57" s="11" t="s">
        <v>1478</v>
      </c>
      <c r="D57" s="19" t="s">
        <v>1600</v>
      </c>
      <c r="E57" s="11" t="s">
        <v>68</v>
      </c>
    </row>
    <row r="58" spans="1:5" x14ac:dyDescent="0.25">
      <c r="A58" s="7" t="s">
        <v>1598</v>
      </c>
      <c r="B58" s="7" t="s">
        <v>1599</v>
      </c>
      <c r="C58" s="7" t="s">
        <v>1601</v>
      </c>
      <c r="D58" s="18" t="s">
        <v>1602</v>
      </c>
      <c r="E58" s="7" t="s">
        <v>68</v>
      </c>
    </row>
    <row r="59" spans="1:5" x14ac:dyDescent="0.25">
      <c r="A59" s="11" t="s">
        <v>1598</v>
      </c>
      <c r="B59" s="11" t="s">
        <v>1599</v>
      </c>
      <c r="C59" s="11" t="s">
        <v>1603</v>
      </c>
      <c r="D59" s="19" t="s">
        <v>1498</v>
      </c>
      <c r="E59" s="11" t="s">
        <v>1604</v>
      </c>
    </row>
    <row r="60" spans="1:5" x14ac:dyDescent="0.25">
      <c r="A60" s="7" t="s">
        <v>1598</v>
      </c>
      <c r="B60" s="7" t="s">
        <v>1599</v>
      </c>
      <c r="C60" s="7" t="s">
        <v>1483</v>
      </c>
      <c r="D60" s="18" t="s">
        <v>1484</v>
      </c>
      <c r="E60" s="7" t="s">
        <v>68</v>
      </c>
    </row>
    <row r="61" spans="1:5" x14ac:dyDescent="0.25">
      <c r="A61" s="11" t="s">
        <v>1598</v>
      </c>
      <c r="B61" s="11" t="s">
        <v>1605</v>
      </c>
      <c r="C61" s="11" t="s">
        <v>1606</v>
      </c>
      <c r="D61" s="19" t="s">
        <v>1607</v>
      </c>
      <c r="E61" s="11" t="s">
        <v>1608</v>
      </c>
    </row>
  </sheetData>
  <autoFilter ref="A1:E6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FormatPr defaultRowHeight="15" outlineLevelRow="0" outlineLevelCol="0" x14ac:dyDescent="55"/>
  <cols>
    <col min="1" max="1" width="26" customWidth="1"/>
    <col min="2" max="2" width="96" customWidth="1"/>
  </cols>
  <sheetData>
    <row r="1" spans="1:2" x14ac:dyDescent="0.25">
      <c r="A1" s="20" t="s">
        <v>1609</v>
      </c>
      <c r="B1" s="20"/>
    </row>
    <row r="3" spans="1:2" x14ac:dyDescent="0.25">
      <c r="A3" s="2" t="s">
        <v>45</v>
      </c>
      <c r="B3" s="21" t="s">
        <v>1610</v>
      </c>
    </row>
    <row r="5" spans="1:2" x14ac:dyDescent="0.25">
      <c r="A5" s="2" t="s">
        <v>1611</v>
      </c>
      <c r="B5" s="21" t="s">
        <v>1612</v>
      </c>
    </row>
    <row r="7" spans="1:2" x14ac:dyDescent="0.25">
      <c r="A7" s="2" t="s">
        <v>1613</v>
      </c>
      <c r="B7" s="21" t="s">
        <v>1614</v>
      </c>
    </row>
    <row r="8" spans="1:2" x14ac:dyDescent="0.25">
      <c r="A8" s="2" t="s">
        <v>1615</v>
      </c>
      <c r="B8" s="21" t="s">
        <v>1616</v>
      </c>
    </row>
    <row r="9" spans="1:2" x14ac:dyDescent="0.25">
      <c r="A9" s="2" t="s">
        <v>1617</v>
      </c>
      <c r="B9" s="21" t="s">
        <v>1618</v>
      </c>
    </row>
    <row r="10" spans="1:2" x14ac:dyDescent="0.25">
      <c r="A10" s="2" t="s">
        <v>1619</v>
      </c>
      <c r="B10" s="21" t="s">
        <v>1620</v>
      </c>
    </row>
    <row r="11" spans="1:2" x14ac:dyDescent="0.25">
      <c r="A11" s="2" t="s">
        <v>1621</v>
      </c>
      <c r="B11" s="21" t="s">
        <v>1622</v>
      </c>
    </row>
    <row r="12" spans="1:2" x14ac:dyDescent="0.25">
      <c r="A12" s="2" t="s">
        <v>1623</v>
      </c>
      <c r="B12" s="21" t="s">
        <v>1624</v>
      </c>
    </row>
    <row r="13" spans="1:2" x14ac:dyDescent="0.25">
      <c r="A13" s="2" t="s">
        <v>1625</v>
      </c>
      <c r="B13" s="21" t="s">
        <v>1626</v>
      </c>
    </row>
    <row r="14" spans="1:2" x14ac:dyDescent="0.25">
      <c r="A14" s="2" t="s">
        <v>1627</v>
      </c>
      <c r="B14" s="21" t="s">
        <v>1628</v>
      </c>
    </row>
    <row r="16" spans="1:2" x14ac:dyDescent="0.25">
      <c r="A16" s="2" t="s">
        <v>1629</v>
      </c>
      <c r="B16" s="21" t="s">
        <v>1630</v>
      </c>
    </row>
    <row r="18" spans="1:2" x14ac:dyDescent="0.25">
      <c r="A18" s="2" t="s">
        <v>1631</v>
      </c>
      <c r="B18" s="21" t="s">
        <v>1632</v>
      </c>
    </row>
    <row r="19" spans="1:2" x14ac:dyDescent="0.25">
      <c r="A19" s="2" t="s">
        <v>1633</v>
      </c>
      <c r="B19" s="21" t="s">
        <v>1634</v>
      </c>
    </row>
    <row r="20" spans="1:2" x14ac:dyDescent="0.25">
      <c r="A20" s="2" t="s">
        <v>1635</v>
      </c>
      <c r="B20" s="21" t="s">
        <v>1636</v>
      </c>
    </row>
    <row r="21" spans="1:2" x14ac:dyDescent="0.25">
      <c r="A21" s="2" t="s">
        <v>1637</v>
      </c>
      <c r="B21" s="21" t="s">
        <v>1638</v>
      </c>
    </row>
    <row r="23" spans="1:2" x14ac:dyDescent="0.25">
      <c r="A23" s="2" t="s">
        <v>1639</v>
      </c>
      <c r="B23" s="21" t="s">
        <v>1640</v>
      </c>
    </row>
    <row r="24" spans="1:2" x14ac:dyDescent="0.25">
      <c r="A24" s="2" t="s">
        <v>1641</v>
      </c>
      <c r="B24" s="21" t="s">
        <v>1642</v>
      </c>
    </row>
    <row r="26" spans="1:2" x14ac:dyDescent="0.25">
      <c r="A26" s="2" t="s">
        <v>1643</v>
      </c>
      <c r="B26" s="21" t="s">
        <v>1644</v>
      </c>
    </row>
    <row r="27" spans="1:2" x14ac:dyDescent="0.25">
      <c r="A27" s="2" t="s">
        <v>1645</v>
      </c>
      <c r="B27" s="21" t="s">
        <v>1646</v>
      </c>
    </row>
    <row r="28" spans="1:2" x14ac:dyDescent="0.25">
      <c r="A28" s="2" t="s">
        <v>1647</v>
      </c>
      <c r="B28" s="21" t="s">
        <v>1648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FormatPr defaultRowHeight="15" outlineLevelRow="0" outlineLevelCol="0" x14ac:dyDescent="55"/>
  <cols>
    <col min="1" max="1" width="34" customWidth="1"/>
    <col min="2" max="2" width="10" customWidth="1"/>
    <col min="3" max="3" width="8" customWidth="1"/>
    <col min="4" max="4" width="10" customWidth="1"/>
    <col min="5" max="5" width="52" customWidth="1"/>
  </cols>
  <sheetData>
    <row r="1" spans="1:1" x14ac:dyDescent="0.25">
      <c r="A1" s="22" t="s">
        <v>1649</v>
      </c>
    </row>
    <row r="3" spans="1:2" x14ac:dyDescent="0.25">
      <c r="A3" s="23" t="s">
        <v>1650</v>
      </c>
      <c r="B3" s="23">
        <f>COUNTA(Casos!C2:C237)</f>
        <v>236</v>
      </c>
    </row>
    <row r="5" spans="1:5" x14ac:dyDescent="0.25">
      <c r="A5" s="24" t="s">
        <v>41</v>
      </c>
      <c r="B5" s="24" t="s">
        <v>1651</v>
      </c>
      <c r="D5" s="24" t="s">
        <v>39</v>
      </c>
      <c r="E5" s="24" t="s">
        <v>1651</v>
      </c>
    </row>
    <row r="6" spans="1:5" x14ac:dyDescent="0.25">
      <c r="A6" s="23" t="s">
        <v>1652</v>
      </c>
      <c r="B6" s="23">
        <f>COUNTIF(Casos!L2:L237,"Pendiente")</f>
        <v>0</v>
      </c>
      <c r="D6" s="23" t="s">
        <v>60</v>
      </c>
      <c r="E6" s="23">
        <f>COUNTIF(Casos!E2:E237,"Manual-QA")</f>
        <v>111</v>
      </c>
    </row>
    <row r="7" spans="1:5" x14ac:dyDescent="0.25">
      <c r="A7" s="23" t="s">
        <v>67</v>
      </c>
      <c r="B7" s="23">
        <f>COUNTIF(Casos!L2:L237,"Pass")</f>
        <v>142</v>
      </c>
      <c r="D7" s="23" t="s">
        <v>78</v>
      </c>
      <c r="E7" s="23">
        <f>COUNTIF(Casos!E2:E237,"Tecnico/Dev")</f>
        <v>93</v>
      </c>
    </row>
    <row r="8" spans="1:5" x14ac:dyDescent="0.25">
      <c r="A8" s="23" t="s">
        <v>1653</v>
      </c>
      <c r="B8" s="23">
        <f>COUNTIF(Casos!L2:L237,"Fail")</f>
        <v>0</v>
      </c>
      <c r="D8" s="23" t="s">
        <v>714</v>
      </c>
      <c r="E8" s="23">
        <f>COUNTIF(Casos!E2:E237,"Automatizado-IT")</f>
        <v>32</v>
      </c>
    </row>
    <row r="9" spans="1:2" x14ac:dyDescent="0.25">
      <c r="A9" s="23" t="s">
        <v>75</v>
      </c>
      <c r="B9" s="23">
        <f>COUNTIF(Casos!L2:L237,"Blocked")</f>
        <v>90</v>
      </c>
    </row>
    <row r="10" spans="1:2" x14ac:dyDescent="0.25">
      <c r="A10" s="23" t="s">
        <v>295</v>
      </c>
      <c r="B10" s="23">
        <f>COUNTIF(Casos!L2:L237,"N/A")</f>
        <v>4</v>
      </c>
    </row>
    <row r="12" spans="1:1" x14ac:dyDescent="0.25">
      <c r="A12" s="25" t="s">
        <v>1654</v>
      </c>
    </row>
    <row r="13" spans="1:4" x14ac:dyDescent="0.25">
      <c r="A13" s="24" t="s">
        <v>46</v>
      </c>
      <c r="B13" s="24" t="s">
        <v>1655</v>
      </c>
      <c r="C13" s="24" t="s">
        <v>67</v>
      </c>
      <c r="D13" s="24" t="s">
        <v>1653</v>
      </c>
    </row>
    <row r="14" spans="1:4" x14ac:dyDescent="0.25">
      <c r="A14" s="23" t="s">
        <v>57</v>
      </c>
      <c r="B14" s="23">
        <f>COUNTIF(Casos!B2:B237,"F0. Infra / Deploy / Acceso")</f>
        <v>14</v>
      </c>
      <c r="C14" s="23">
        <f>COUNTIFS(Casos!B2:B237,"F0. Infra / Deploy / Acceso",Casos!L2:L237,"Pass")</f>
        <v>10</v>
      </c>
      <c r="D14" s="23">
        <f>COUNTIFS(Casos!B2:B237,"F0. Infra / Deploy / Acceso",Casos!L2:L237,"Fail")</f>
        <v>0</v>
      </c>
    </row>
    <row r="15" spans="1:4" x14ac:dyDescent="0.25">
      <c r="A15" s="23" t="s">
        <v>150</v>
      </c>
      <c r="B15" s="23">
        <f>COUNTIF(Casos!B2:B237,"F1. Autenticacion / Roles")</f>
        <v>14</v>
      </c>
      <c r="C15" s="23">
        <f>COUNTIFS(Casos!B2:B237,"F1. Autenticacion / Roles",Casos!L2:L237,"Pass")</f>
        <v>8</v>
      </c>
      <c r="D15" s="23">
        <f>COUNTIFS(Casos!B2:B237,"F1. Autenticacion / Roles",Casos!L2:L237,"Fail")</f>
        <v>0</v>
      </c>
    </row>
    <row r="16" spans="1:4" x14ac:dyDescent="0.25">
      <c r="A16" s="23" t="s">
        <v>231</v>
      </c>
      <c r="B16" s="23">
        <f>COUNTIF(Casos!B2:B237,"F2. Configuracion (catalogo)")</f>
        <v>33</v>
      </c>
      <c r="C16" s="23">
        <f>COUNTIFS(Casos!B2:B237,"F2. Configuracion (catalogo)",Casos!L2:L237,"Pass")</f>
        <v>31</v>
      </c>
      <c r="D16" s="23">
        <f>COUNTIFS(Casos!B2:B237,"F2. Configuracion (catalogo)",Casos!L2:L237,"Fail")</f>
        <v>0</v>
      </c>
    </row>
    <row r="17" spans="1:4" x14ac:dyDescent="0.25">
      <c r="A17" s="23" t="s">
        <v>423</v>
      </c>
      <c r="B17" s="23">
        <f>COUNTIF(Casos!B2:B237,"F3. Flujo E2E (money-path)")</f>
        <v>23</v>
      </c>
      <c r="C17" s="23">
        <f>COUNTIFS(Casos!B2:B237,"F3. Flujo E2E (money-path)",Casos!L2:L237,"Pass")</f>
        <v>16</v>
      </c>
      <c r="D17" s="23">
        <f>COUNTIFS(Casos!B2:B237,"F3. Flujo E2E (money-path)",Casos!L2:L237,"Fail")</f>
        <v>0</v>
      </c>
    </row>
    <row r="18" spans="1:4" x14ac:dyDescent="0.25">
      <c r="A18" s="23" t="s">
        <v>558</v>
      </c>
      <c r="B18" s="23">
        <f>COUNTIF(Casos!B2:B237,"F4. Profundizacion por etapa")</f>
        <v>68</v>
      </c>
      <c r="C18" s="23">
        <f>COUNTIFS(Casos!B2:B237,"F4. Profundizacion por etapa",Casos!L2:L237,"Pass")</f>
        <v>44</v>
      </c>
      <c r="D18" s="23">
        <f>COUNTIFS(Casos!B2:B237,"F4. Profundizacion por etapa",Casos!L2:L237,"Fail")</f>
        <v>0</v>
      </c>
    </row>
    <row r="19" spans="1:4" x14ac:dyDescent="0.25">
      <c r="A19" s="23" t="s">
        <v>933</v>
      </c>
      <c r="B19" s="23">
        <f>COUNTIF(Casos!B2:B237,"F5. Maker-checker / Consolas")</f>
        <v>36</v>
      </c>
      <c r="C19" s="23">
        <f>COUNTIFS(Casos!B2:B237,"F5. Maker-checker / Consolas",Casos!L2:L237,"Pass")</f>
        <v>17</v>
      </c>
      <c r="D19" s="23">
        <f>COUNTIFS(Casos!B2:B237,"F5. Maker-checker / Consolas",Casos!L2:L237,"Fail")</f>
        <v>0</v>
      </c>
    </row>
    <row r="20" spans="1:4" x14ac:dyDescent="0.25">
      <c r="A20" s="23" t="s">
        <v>1128</v>
      </c>
      <c r="B20" s="23">
        <f>COUNTIF(Casos!B2:B237,"F6. Plataforma / Auditoria")</f>
        <v>14</v>
      </c>
      <c r="C20" s="23">
        <f>COUNTIFS(Casos!B2:B237,"F6. Plataforma / Auditoria",Casos!L2:L237,"Pass")</f>
        <v>3</v>
      </c>
      <c r="D20" s="23">
        <f>COUNTIFS(Casos!B2:B237,"F6. Plataforma / Auditoria",Casos!L2:L237,"Fail")</f>
        <v>0</v>
      </c>
    </row>
    <row r="21" spans="1:4" x14ac:dyDescent="0.25">
      <c r="A21" s="23" t="s">
        <v>1207</v>
      </c>
      <c r="B21" s="23">
        <f>COUNTIF(Casos!B2:B237,"F7. No funcionales")</f>
        <v>12</v>
      </c>
      <c r="C21" s="23">
        <f>COUNTIFS(Casos!B2:B237,"F7. No funcionales",Casos!L2:L237,"Pass")</f>
        <v>7</v>
      </c>
      <c r="D21" s="23">
        <f>COUNTIFS(Casos!B2:B237,"F7. No funcionales",Casos!L2:L237,"Fail")</f>
        <v>0</v>
      </c>
    </row>
    <row r="22" spans="1:4" x14ac:dyDescent="0.25">
      <c r="A22" s="23" t="s">
        <v>1272</v>
      </c>
      <c r="B22" s="23">
        <f>COUNTIF(Casos!B2:B237,"F8. Aceptacion bancaria (homologacion)")</f>
        <v>22</v>
      </c>
      <c r="C22" s="23">
        <f>COUNTIFS(Casos!B2:B237,"F8. Aceptacion bancaria (homologacion)",Casos!L2:L237,"Pass")</f>
        <v>6</v>
      </c>
      <c r="D22" s="23">
        <f>COUNTIFS(Casos!B2:B237,"F8. Aceptacion bancaria (homologacion)",Casos!L2:L237,"Fail")</f>
        <v>0</v>
      </c>
    </row>
    <row r="24" spans="1:1" x14ac:dyDescent="0.25">
      <c r="A24" s="25" t="s">
        <v>1656</v>
      </c>
    </row>
    <row r="25" spans="1:5" x14ac:dyDescent="0.25">
      <c r="A25" s="24" t="s">
        <v>48</v>
      </c>
      <c r="B25" s="24" t="s">
        <v>1655</v>
      </c>
      <c r="C25" s="24" t="s">
        <v>67</v>
      </c>
      <c r="D25" s="24" t="s">
        <v>1653</v>
      </c>
      <c r="E25" s="24" t="s">
        <v>1601</v>
      </c>
    </row>
    <row r="26" spans="1:5" x14ac:dyDescent="0.25">
      <c r="A26" s="23" t="s">
        <v>59</v>
      </c>
      <c r="B26" s="23">
        <f>COUNTIF(Casos!D2:D237,"INFRA")</f>
        <v>14</v>
      </c>
      <c r="C26" s="23">
        <f>COUNTIFS(Casos!D2:D237,"INFRA",Casos!L2:L237,"Pass")</f>
        <v>10</v>
      </c>
      <c r="D26" s="23">
        <f>COUNTIFS(Casos!D2:D237,"INFRA",Casos!L2:L237,"Fail")</f>
        <v>0</v>
      </c>
      <c r="E26" s="23" t="s">
        <v>1657</v>
      </c>
    </row>
    <row r="27" spans="1:5" x14ac:dyDescent="0.25">
      <c r="A27" s="23" t="s">
        <v>152</v>
      </c>
      <c r="B27" s="23">
        <f>COUNTIF(Casos!D2:D237,"AUTH")</f>
        <v>14</v>
      </c>
      <c r="C27" s="23">
        <f>COUNTIFS(Casos!D2:D237,"AUTH",Casos!L2:L237,"Pass")</f>
        <v>8</v>
      </c>
      <c r="D27" s="23">
        <f>COUNTIFS(Casos!D2:D237,"AUTH",Casos!L2:L237,"Fail")</f>
        <v>0</v>
      </c>
      <c r="E27" s="23" t="s">
        <v>1658</v>
      </c>
    </row>
    <row r="28" spans="1:5" x14ac:dyDescent="0.25">
      <c r="A28" s="23" t="s">
        <v>233</v>
      </c>
      <c r="B28" s="23">
        <f>COUNTIF(Casos!D2:D237,"CSRC")</f>
        <v>12</v>
      </c>
      <c r="C28" s="23">
        <f>COUNTIFS(Casos!D2:D237,"CSRC",Casos!L2:L237,"Pass")</f>
        <v>11</v>
      </c>
      <c r="D28" s="23">
        <f>COUNTIFS(Casos!D2:D237,"CSRC",Casos!L2:L237,"Fail")</f>
        <v>0</v>
      </c>
      <c r="E28" s="23" t="s">
        <v>1659</v>
      </c>
    </row>
    <row r="29" spans="1:5" x14ac:dyDescent="0.25">
      <c r="A29" s="23" t="s">
        <v>303</v>
      </c>
      <c r="B29" s="23">
        <f>COUNTIF(Casos!D2:D237,"CCON")</f>
        <v>6</v>
      </c>
      <c r="C29" s="23">
        <f>COUNTIFS(Casos!D2:D237,"CCON",Casos!L2:L237,"Pass")</f>
        <v>5</v>
      </c>
      <c r="D29" s="23">
        <f>COUNTIFS(Casos!D2:D237,"CCON",Casos!L2:L237,"Fail")</f>
        <v>0</v>
      </c>
      <c r="E29" s="23" t="s">
        <v>1660</v>
      </c>
    </row>
    <row r="30" spans="1:5" x14ac:dyDescent="0.25">
      <c r="A30" s="23" t="s">
        <v>338</v>
      </c>
      <c r="B30" s="23">
        <f>COUNTIF(Casos!D2:D237,"CRDR")</f>
        <v>7</v>
      </c>
      <c r="C30" s="23">
        <f>COUNTIFS(Casos!D2:D237,"CRDR",Casos!L2:L237,"Pass")</f>
        <v>7</v>
      </c>
      <c r="D30" s="23">
        <f>COUNTIFS(Casos!D2:D237,"CRDR",Casos!L2:L237,"Fail")</f>
        <v>0</v>
      </c>
      <c r="E30" s="23" t="s">
        <v>1661</v>
      </c>
    </row>
    <row r="31" spans="1:5" x14ac:dyDescent="0.25">
      <c r="A31" s="23" t="s">
        <v>377</v>
      </c>
      <c r="B31" s="23">
        <f>COUNTIF(Casos!D2:D237,"CPRO")</f>
        <v>8</v>
      </c>
      <c r="C31" s="23">
        <f>COUNTIFS(Casos!D2:D237,"CPRO",Casos!L2:L237,"Pass")</f>
        <v>8</v>
      </c>
      <c r="D31" s="23">
        <f>COUNTIFS(Casos!D2:D237,"CPRO",Casos!L2:L237,"Fail")</f>
        <v>0</v>
      </c>
      <c r="E31" s="23" t="s">
        <v>1662</v>
      </c>
    </row>
    <row r="32" spans="1:5" x14ac:dyDescent="0.25">
      <c r="A32" s="23" t="s">
        <v>425</v>
      </c>
      <c r="B32" s="23">
        <f>COUNTIF(Casos!D2:D237,"E2E")</f>
        <v>23</v>
      </c>
      <c r="C32" s="23">
        <f>COUNTIFS(Casos!D2:D237,"E2E",Casos!L2:L237,"Pass")</f>
        <v>16</v>
      </c>
      <c r="D32" s="23">
        <f>COUNTIFS(Casos!D2:D237,"E2E",Casos!L2:L237,"Fail")</f>
        <v>0</v>
      </c>
      <c r="E32" s="23" t="s">
        <v>1663</v>
      </c>
    </row>
    <row r="33" spans="1:5" x14ac:dyDescent="0.25">
      <c r="A33" s="23" t="s">
        <v>560</v>
      </c>
      <c r="B33" s="23">
        <f>COUNTIF(Casos!D2:D237,"SRC")</f>
        <v>11</v>
      </c>
      <c r="C33" s="23">
        <f>COUNTIFS(Casos!D2:D237,"SRC",Casos!L2:L237,"Pass")</f>
        <v>7</v>
      </c>
      <c r="D33" s="23">
        <f>COUNTIFS(Casos!D2:D237,"SRC",Casos!L2:L237,"Fail")</f>
        <v>0</v>
      </c>
      <c r="E33" s="23" t="s">
        <v>1664</v>
      </c>
    </row>
    <row r="34" spans="1:5" x14ac:dyDescent="0.25">
      <c r="A34" s="23" t="s">
        <v>622</v>
      </c>
      <c r="B34" s="23">
        <f>COUNTIF(Casos!D2:D237,"MP")</f>
        <v>17</v>
      </c>
      <c r="C34" s="23">
        <f>COUNTIFS(Casos!D2:D237,"MP",Casos!L2:L237,"Pass")</f>
        <v>11</v>
      </c>
      <c r="D34" s="23">
        <f>COUNTIFS(Casos!D2:D237,"MP",Casos!L2:L237,"Fail")</f>
        <v>0</v>
      </c>
      <c r="E34" s="23" t="s">
        <v>1665</v>
      </c>
    </row>
    <row r="35" spans="1:5" x14ac:dyDescent="0.25">
      <c r="A35" s="23" t="s">
        <v>727</v>
      </c>
      <c r="B35" s="23">
        <f>COUNTIF(Casos!D2:D237,"PAY")</f>
        <v>21</v>
      </c>
      <c r="C35" s="23">
        <f>COUNTIFS(Casos!D2:D237,"PAY",Casos!L2:L237,"Pass")</f>
        <v>15</v>
      </c>
      <c r="D35" s="23">
        <f>COUNTIFS(Casos!D2:D237,"PAY",Casos!L2:L237,"Fail")</f>
        <v>0</v>
      </c>
      <c r="E35" s="23" t="s">
        <v>1666</v>
      </c>
    </row>
    <row r="36" spans="1:5" x14ac:dyDescent="0.25">
      <c r="A36" s="23" t="s">
        <v>836</v>
      </c>
      <c r="B36" s="23">
        <f>COUNTIF(Casos!D2:D237,"CORR")</f>
        <v>10</v>
      </c>
      <c r="C36" s="23">
        <f>COUNTIFS(Casos!D2:D237,"CORR",Casos!L2:L237,"Pass")</f>
        <v>8</v>
      </c>
      <c r="D36" s="23">
        <f>COUNTIFS(Casos!D2:D237,"CORR",Casos!L2:L237,"Fail")</f>
        <v>0</v>
      </c>
      <c r="E36" s="23" t="s">
        <v>1667</v>
      </c>
    </row>
    <row r="37" spans="1:5" x14ac:dyDescent="0.25">
      <c r="A37" s="23" t="s">
        <v>883</v>
      </c>
      <c r="B37" s="23">
        <f>COUNTIF(Casos!D2:D237,"STAT")</f>
        <v>9</v>
      </c>
      <c r="C37" s="23">
        <f>COUNTIFS(Casos!D2:D237,"STAT",Casos!L2:L237,"Pass")</f>
        <v>3</v>
      </c>
      <c r="D37" s="23">
        <f>COUNTIFS(Casos!D2:D237,"STAT",Casos!L2:L237,"Fail")</f>
        <v>0</v>
      </c>
      <c r="E37" s="23" t="s">
        <v>1668</v>
      </c>
    </row>
    <row r="38" spans="1:5" x14ac:dyDescent="0.25">
      <c r="A38" s="23" t="s">
        <v>935</v>
      </c>
      <c r="B38" s="23">
        <f>COUNTIF(Casos!D2:D237,"MC")</f>
        <v>24</v>
      </c>
      <c r="C38" s="23">
        <f>COUNTIFS(Casos!D2:D237,"MC",Casos!L2:L237,"Pass")</f>
        <v>13</v>
      </c>
      <c r="D38" s="23">
        <f>COUNTIFS(Casos!D2:D237,"MC",Casos!L2:L237,"Fail")</f>
        <v>0</v>
      </c>
      <c r="E38" s="23" t="s">
        <v>1669</v>
      </c>
    </row>
    <row r="39" spans="1:5" x14ac:dyDescent="0.25">
      <c r="A39" s="23" t="s">
        <v>1068</v>
      </c>
      <c r="B39" s="23">
        <f>COUNTIF(Casos!D2:D237,"UI")</f>
        <v>12</v>
      </c>
      <c r="C39" s="23">
        <f>COUNTIFS(Casos!D2:D237,"UI",Casos!L2:L237,"Pass")</f>
        <v>4</v>
      </c>
      <c r="D39" s="23">
        <f>COUNTIFS(Casos!D2:D237,"UI",Casos!L2:L237,"Fail")</f>
        <v>0</v>
      </c>
      <c r="E39" s="23" t="s">
        <v>1670</v>
      </c>
    </row>
    <row r="40" spans="1:5" x14ac:dyDescent="0.25">
      <c r="A40" s="23" t="s">
        <v>1130</v>
      </c>
      <c r="B40" s="23">
        <f>COUNTIF(Casos!D2:D237,"PLG")</f>
        <v>8</v>
      </c>
      <c r="C40" s="23">
        <f>COUNTIFS(Casos!D2:D237,"PLG",Casos!L2:L237,"Pass")</f>
        <v>1</v>
      </c>
      <c r="D40" s="23">
        <f>COUNTIFS(Casos!D2:D237,"PLG",Casos!L2:L237,"Fail")</f>
        <v>0</v>
      </c>
      <c r="E40" s="23" t="s">
        <v>1671</v>
      </c>
    </row>
    <row r="41" spans="1:5" x14ac:dyDescent="0.25">
      <c r="A41" s="23" t="s">
        <v>1174</v>
      </c>
      <c r="B41" s="23">
        <f>COUNTIF(Casos!D2:D237,"AUD")</f>
        <v>6</v>
      </c>
      <c r="C41" s="23">
        <f>COUNTIFS(Casos!D2:D237,"AUD",Casos!L2:L237,"Pass")</f>
        <v>2</v>
      </c>
      <c r="D41" s="23">
        <f>COUNTIFS(Casos!D2:D237,"AUD",Casos!L2:L237,"Fail")</f>
        <v>0</v>
      </c>
      <c r="E41" s="23" t="s">
        <v>1672</v>
      </c>
    </row>
    <row r="42" spans="1:5" x14ac:dyDescent="0.25">
      <c r="A42" s="23" t="s">
        <v>1209</v>
      </c>
      <c r="B42" s="23">
        <f>COUNTIF(Casos!D2:D237,"NF")</f>
        <v>12</v>
      </c>
      <c r="C42" s="23">
        <f>COUNTIFS(Casos!D2:D237,"NF",Casos!L2:L237,"Pass")</f>
        <v>7</v>
      </c>
      <c r="D42" s="23">
        <f>COUNTIFS(Casos!D2:D237,"NF",Casos!L2:L237,"Fail")</f>
        <v>0</v>
      </c>
      <c r="E42" s="23" t="s">
        <v>1673</v>
      </c>
    </row>
    <row r="43" spans="1:5" x14ac:dyDescent="0.25">
      <c r="A43" s="23" t="s">
        <v>1274</v>
      </c>
      <c r="B43" s="23">
        <f>COUNTIF(Casos!D2:D237,"BANK")</f>
        <v>22</v>
      </c>
      <c r="C43" s="23">
        <f>COUNTIFS(Casos!D2:D237,"BANK",Casos!L2:L237,"Pass")</f>
        <v>6</v>
      </c>
      <c r="D43" s="23">
        <f>COUNTIFS(Casos!D2:D237,"BANK",Casos!L2:L237,"Fail")</f>
        <v>0</v>
      </c>
      <c r="E43" s="23" t="s">
        <v>1674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FormatPr defaultRowHeight="15" outlineLevelRow="0" outlineLevelCol="0" x14ac:dyDescent="55"/>
  <cols>
    <col min="1" max="1" width="8" customWidth="1"/>
    <col min="2" max="2" width="46" customWidth="1"/>
    <col min="3" max="3" width="28" customWidth="1"/>
    <col min="4" max="4" width="22" customWidth="1"/>
    <col min="5" max="5" width="36" customWidth="1"/>
  </cols>
  <sheetData>
    <row r="1" ht="26" customHeight="1" spans="1:5" x14ac:dyDescent="0.25">
      <c r="A1" s="26" t="s">
        <v>1675</v>
      </c>
      <c r="B1" s="26"/>
      <c r="C1" s="26"/>
      <c r="D1" s="26"/>
      <c r="E1" s="26"/>
    </row>
    <row r="2" spans="1:5" x14ac:dyDescent="0.25">
      <c r="A2" s="27" t="s">
        <v>1676</v>
      </c>
      <c r="B2" s="27"/>
      <c r="C2" s="27"/>
      <c r="D2" s="27"/>
      <c r="E2" s="27"/>
    </row>
    <row r="3" ht="22" customHeight="1" spans="1:5" x14ac:dyDescent="0.25">
      <c r="A3" s="5" t="s">
        <v>47</v>
      </c>
      <c r="B3" s="5" t="s">
        <v>1677</v>
      </c>
      <c r="C3" s="5" t="s">
        <v>1678</v>
      </c>
      <c r="D3" s="5" t="s">
        <v>1679</v>
      </c>
      <c r="E3" s="5" t="s">
        <v>1680</v>
      </c>
    </row>
    <row r="4" spans="1:5" x14ac:dyDescent="0.25">
      <c r="A4" s="7" t="s">
        <v>1681</v>
      </c>
      <c r="B4" s="7" t="s">
        <v>1682</v>
      </c>
      <c r="C4" s="7" t="s">
        <v>1683</v>
      </c>
      <c r="D4" s="7" t="s">
        <v>1652</v>
      </c>
      <c r="E4" s="7" t="s">
        <v>68</v>
      </c>
    </row>
    <row r="5" spans="1:5" x14ac:dyDescent="0.25">
      <c r="A5" s="11" t="s">
        <v>1684</v>
      </c>
      <c r="B5" s="11" t="s">
        <v>1685</v>
      </c>
      <c r="C5" s="11" t="s">
        <v>1280</v>
      </c>
      <c r="D5" s="11" t="s">
        <v>1652</v>
      </c>
      <c r="E5" s="11" t="s">
        <v>68</v>
      </c>
    </row>
    <row r="6" spans="1:5" x14ac:dyDescent="0.25">
      <c r="A6" s="7" t="s">
        <v>1686</v>
      </c>
      <c r="B6" s="7" t="s">
        <v>1287</v>
      </c>
      <c r="C6" s="7" t="s">
        <v>1687</v>
      </c>
      <c r="D6" s="7" t="s">
        <v>1652</v>
      </c>
      <c r="E6" s="7" t="s">
        <v>68</v>
      </c>
    </row>
    <row r="7" spans="1:5" x14ac:dyDescent="0.25">
      <c r="A7" s="11" t="s">
        <v>1688</v>
      </c>
      <c r="B7" s="11" t="s">
        <v>1689</v>
      </c>
      <c r="C7" s="11" t="s">
        <v>1690</v>
      </c>
      <c r="D7" s="11" t="s">
        <v>1652</v>
      </c>
      <c r="E7" s="11" t="s">
        <v>68</v>
      </c>
    </row>
    <row r="8" spans="1:5" x14ac:dyDescent="0.25">
      <c r="A8" s="7" t="s">
        <v>1691</v>
      </c>
      <c r="B8" s="7" t="s">
        <v>1692</v>
      </c>
      <c r="C8" s="7" t="s">
        <v>1693</v>
      </c>
      <c r="D8" s="7" t="s">
        <v>1652</v>
      </c>
      <c r="E8" s="7" t="s">
        <v>68</v>
      </c>
    </row>
    <row r="9" spans="1:5" x14ac:dyDescent="0.25">
      <c r="A9" s="11" t="s">
        <v>1694</v>
      </c>
      <c r="B9" s="11" t="s">
        <v>1695</v>
      </c>
      <c r="C9" s="11" t="s">
        <v>1696</v>
      </c>
      <c r="D9" s="11" t="s">
        <v>1652</v>
      </c>
      <c r="E9" s="11" t="s">
        <v>68</v>
      </c>
    </row>
    <row r="10" spans="1:5" x14ac:dyDescent="0.25">
      <c r="A10" s="7" t="s">
        <v>1697</v>
      </c>
      <c r="B10" s="7" t="s">
        <v>1698</v>
      </c>
      <c r="C10" s="7" t="s">
        <v>1699</v>
      </c>
      <c r="D10" s="7" t="s">
        <v>1652</v>
      </c>
      <c r="E10" s="7" t="s">
        <v>68</v>
      </c>
    </row>
    <row r="11" spans="1:5" x14ac:dyDescent="0.25">
      <c r="A11" s="11" t="s">
        <v>1700</v>
      </c>
      <c r="B11" s="11" t="s">
        <v>1701</v>
      </c>
      <c r="C11" s="11" t="s">
        <v>1702</v>
      </c>
      <c r="D11" s="11" t="s">
        <v>1652</v>
      </c>
      <c r="E11" s="11" t="s">
        <v>68</v>
      </c>
    </row>
    <row r="12" spans="1:5" x14ac:dyDescent="0.25">
      <c r="A12" s="7" t="s">
        <v>1703</v>
      </c>
      <c r="B12" s="7" t="s">
        <v>1704</v>
      </c>
      <c r="C12" s="7" t="s">
        <v>1705</v>
      </c>
      <c r="D12" s="7" t="s">
        <v>1652</v>
      </c>
      <c r="E12" s="7" t="s">
        <v>68</v>
      </c>
    </row>
    <row r="13" spans="1:5" x14ac:dyDescent="0.25">
      <c r="A13" s="11" t="s">
        <v>1706</v>
      </c>
      <c r="B13" s="11" t="s">
        <v>1331</v>
      </c>
      <c r="C13" s="11" t="s">
        <v>1330</v>
      </c>
      <c r="D13" s="11" t="s">
        <v>1652</v>
      </c>
      <c r="E13" s="11" t="s">
        <v>68</v>
      </c>
    </row>
    <row r="14" spans="1:5" x14ac:dyDescent="0.25">
      <c r="A14" s="7" t="s">
        <v>1707</v>
      </c>
      <c r="B14" s="7" t="s">
        <v>1361</v>
      </c>
      <c r="C14" s="7" t="s">
        <v>1708</v>
      </c>
      <c r="D14" s="7" t="s">
        <v>1652</v>
      </c>
      <c r="E14" s="7" t="s">
        <v>68</v>
      </c>
    </row>
    <row r="15" spans="1:5" x14ac:dyDescent="0.25">
      <c r="A15" s="11" t="s">
        <v>1709</v>
      </c>
      <c r="B15" s="11" t="s">
        <v>1710</v>
      </c>
      <c r="C15" s="11" t="s">
        <v>1711</v>
      </c>
      <c r="D15" s="11" t="s">
        <v>1652</v>
      </c>
      <c r="E15" s="11" t="s">
        <v>68</v>
      </c>
    </row>
    <row r="16" spans="1:5" x14ac:dyDescent="0.25">
      <c r="A16" s="7" t="s">
        <v>1712</v>
      </c>
      <c r="B16" s="7" t="s">
        <v>1713</v>
      </c>
      <c r="C16" s="7" t="s">
        <v>1714</v>
      </c>
      <c r="D16" s="7" t="s">
        <v>1652</v>
      </c>
      <c r="E16" s="7" t="s">
        <v>68</v>
      </c>
    </row>
    <row r="17" spans="1:5" x14ac:dyDescent="0.25">
      <c r="A17" s="11" t="s">
        <v>1715</v>
      </c>
      <c r="B17" s="11" t="s">
        <v>1716</v>
      </c>
      <c r="C17" s="11" t="s">
        <v>1717</v>
      </c>
      <c r="D17" s="11" t="s">
        <v>1652</v>
      </c>
      <c r="E17" s="11" t="s">
        <v>68</v>
      </c>
    </row>
    <row r="18" spans="1:5" x14ac:dyDescent="0.25">
      <c r="A18" s="7" t="s">
        <v>1718</v>
      </c>
      <c r="B18" s="7" t="s">
        <v>1719</v>
      </c>
      <c r="C18" s="7" t="s">
        <v>1720</v>
      </c>
      <c r="D18" s="7" t="s">
        <v>1652</v>
      </c>
      <c r="E18" s="7" t="s">
        <v>68</v>
      </c>
    </row>
    <row r="19" spans="1:5" x14ac:dyDescent="0.25">
      <c r="A19" s="11" t="s">
        <v>1721</v>
      </c>
      <c r="B19" s="11" t="s">
        <v>1722</v>
      </c>
      <c r="C19" s="11" t="s">
        <v>1723</v>
      </c>
      <c r="D19" s="11" t="s">
        <v>1652</v>
      </c>
      <c r="E19" s="11" t="s">
        <v>68</v>
      </c>
    </row>
    <row r="21" ht="20" customHeight="1" spans="1:5" x14ac:dyDescent="0.25">
      <c r="A21" s="28" t="s">
        <v>1724</v>
      </c>
      <c r="B21" s="28"/>
      <c r="C21" s="28"/>
      <c r="D21" s="28"/>
      <c r="E21" s="28"/>
    </row>
    <row r="22" spans="1:5" x14ac:dyDescent="0.25">
      <c r="A22" s="29" t="s">
        <v>68</v>
      </c>
      <c r="B22" s="29" t="s">
        <v>1725</v>
      </c>
      <c r="C22" s="29" t="s">
        <v>1726</v>
      </c>
      <c r="D22" s="29" t="s">
        <v>1727</v>
      </c>
      <c r="E22" s="29" t="s">
        <v>1728</v>
      </c>
    </row>
    <row r="23" ht="32" customHeight="1" spans="1:5" x14ac:dyDescent="0.25">
      <c r="A23" s="7"/>
      <c r="B23" s="7" t="s">
        <v>1729</v>
      </c>
      <c r="C23" s="7"/>
      <c r="D23" s="7"/>
      <c r="E23" s="7"/>
    </row>
    <row r="24" ht="32" customHeight="1" spans="1:5" x14ac:dyDescent="0.25">
      <c r="A24" s="7"/>
      <c r="B24" s="7" t="s">
        <v>1730</v>
      </c>
      <c r="C24" s="7"/>
      <c r="D24" s="7"/>
      <c r="E24" s="7"/>
    </row>
    <row r="25" ht="32" customHeight="1" spans="1:5" x14ac:dyDescent="0.25">
      <c r="A25" s="7"/>
      <c r="B25" s="7" t="s">
        <v>1731</v>
      </c>
      <c r="C25" s="7"/>
      <c r="D25" s="7"/>
      <c r="E25" s="7"/>
    </row>
    <row r="26" ht="32" customHeight="1" spans="1:5" x14ac:dyDescent="0.25">
      <c r="A26" s="7"/>
      <c r="B26" s="7" t="s">
        <v>1732</v>
      </c>
      <c r="C26" s="7"/>
      <c r="D26" s="7"/>
      <c r="E26" s="7"/>
    </row>
    <row r="27" ht="32" customHeight="1" spans="1:5" x14ac:dyDescent="0.25">
      <c r="A27" s="7"/>
      <c r="B27" s="7" t="s">
        <v>1733</v>
      </c>
      <c r="C27" s="7"/>
      <c r="D27" s="7"/>
      <c r="E27" s="7"/>
    </row>
  </sheetData>
  <mergeCells count="3">
    <mergeCell ref="A1:E1"/>
    <mergeCell ref="A2:E2"/>
    <mergeCell ref="A21:E21"/>
  </mergeCells>
  <dataValidations count="3">
    <dataValidation type="list" allowBlank="1" sqref="D10:D19">
      <formula1>"OK,Observado,NOK,N/A,Pendiente"</formula1>
    </dataValidation>
    <dataValidation type="list" allowBlank="1" sqref="D23:D27">
      <formula1>"Aprobado,Aprobado con obs.,Rechazado"</formula1>
    </dataValidation>
    <dataValidation type="list" allowBlank="1" sqref="D4:D19">
      <formula1>"OK,Observado,NOK,N/A,Pendiente"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Portada</vt:lpstr>
      <vt:lpstr>Casos</vt:lpstr>
      <vt:lpstr>Preparacion</vt:lpstr>
      <vt:lpstr>Datos-Formularios</vt:lpstr>
      <vt:lpstr>Flujo-E2E</vt:lpstr>
      <vt:lpstr>Resumen</vt:lpstr>
      <vt:lpstr>Aprobacion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2026-07-18T09:30:45Z</dcterms:created>
  <dcterms:modified xsi:type="dcterms:W3CDTF">2026-07-18T09:30:45Z</dcterms:modified>
</cp:coreProperties>
</file>